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nou\Desktop\DCM AND VSL REPORT\"/>
    </mc:Choice>
  </mc:AlternateContent>
  <xr:revisionPtr revIDLastSave="0" documentId="8_{F96802CA-F554-4905-8BB8-6269504C227E}" xr6:coauthVersionLast="47" xr6:coauthVersionMax="47" xr10:uidLastSave="{00000000-0000-0000-0000-000000000000}"/>
  <bookViews>
    <workbookView xWindow="15150" yWindow="1335" windowWidth="24210" windowHeight="16890" activeTab="1" xr2:uid="{00000000-000D-0000-FFFF-FFFF00000000}"/>
  </bookViews>
  <sheets>
    <sheet name="DCM Header" sheetId="3" r:id="rId1"/>
    <sheet name="DCM" sheetId="1" r:id="rId2"/>
    <sheet name="Data" sheetId="2" r:id="rId3"/>
    <sheet name="Shp Emg" sheetId="4" r:id="rId4"/>
  </sheets>
  <definedNames>
    <definedName name="_xlnm._FilterDatabase" localSheetId="1" hidden="1">DCM!$A$7:$M$968</definedName>
    <definedName name="_xlnm._FilterDatabase" localSheetId="3" hidden="1">'Shp Emg'!$A$1:$O$19</definedName>
    <definedName name="_xlnm.Print_Area" localSheetId="1">DCM!$A$1:$M$7</definedName>
    <definedName name="_xlnm.Print_Titles" localSheetId="1">DCM!$2:$7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968" i="1" l="1"/>
  <c r="J968" i="1"/>
  <c r="G309" i="1"/>
  <c r="I6" i="1"/>
  <c r="I5" i="1"/>
  <c r="A3" i="1"/>
  <c r="A2" i="1"/>
  <c r="A1" i="1"/>
</calcChain>
</file>

<file path=xl/sharedStrings.xml><?xml version="1.0" encoding="utf-8"?>
<sst xmlns="http://schemas.openxmlformats.org/spreadsheetml/2006/main" count="8000" uniqueCount="1121">
  <si>
    <t>UN/NA NO - Shipping Name - Hazardous Class - Packing Group</t>
  </si>
  <si>
    <t xml:space="preserve">Packaging </t>
  </si>
  <si>
    <t>Shipper - Emergency Number</t>
  </si>
  <si>
    <t>Container</t>
  </si>
  <si>
    <t>Booking</t>
  </si>
  <si>
    <t>POD</t>
  </si>
  <si>
    <t>Stow Loc</t>
  </si>
  <si>
    <t>UN1133, ADHESIVES, 3, II</t>
  </si>
  <si>
    <t xml:space="preserve">UN3470, PAINT, CORROSIVE, FLAMMABLE, 8,(3), II </t>
  </si>
  <si>
    <t>UN3269, POLYESTER RESIN KIT, 3, III</t>
  </si>
  <si>
    <t>UN1090, ACETONE,3,II</t>
  </si>
  <si>
    <t>UN1789, HYDROCHLORIC, ACID, 8, II</t>
  </si>
  <si>
    <t>UN1219, ISOPROPYL ALCOHOL, 3, II</t>
  </si>
  <si>
    <t>UN1307, XYLENE, 3, III</t>
  </si>
  <si>
    <t>UN1263, PAINT, 3, I</t>
  </si>
  <si>
    <t>UN1263, PAINT, 3, II</t>
  </si>
  <si>
    <t>UN1263, PAINT, 3, III</t>
  </si>
  <si>
    <t>UN1263, PAINT RELATED MATERIAL, 3, I</t>
  </si>
  <si>
    <t>UN1263, PAINT RELATED MATERIAL, 3, II</t>
  </si>
  <si>
    <t>UN1263, PAINT RELATED MATERIAL, 3, III</t>
  </si>
  <si>
    <t>UN2468, TRICHLORISOCYANURIC ACID, DRY, 5.1, II</t>
  </si>
  <si>
    <t>UN1959, AEROSOLS, FLAMMABLE, 2.1</t>
  </si>
  <si>
    <t>UN1814, POTASSIUMHYDROXIDE, SOLUTION, 8, II</t>
  </si>
  <si>
    <t>UN1075, PETROLEUM GASES, LIQUEFIED, 2.1</t>
  </si>
  <si>
    <t>UN3262, CORROSIVE SOLID, BASIC, INORGANIC, N.O.S., 8, III</t>
  </si>
  <si>
    <t>UN2071, AMMONIUM NITRATES BASED FERTILIZERS, 9, III</t>
  </si>
  <si>
    <t>UN1477, NITRATES, INORGANIC, N.O.S., 5.1, II</t>
  </si>
  <si>
    <t>UN3166, VEHICLE, FLAMMABLE LIQUID POWERED, 9, III</t>
  </si>
  <si>
    <t>UN1950, AEROSOLS, 2.1</t>
  </si>
  <si>
    <t>UN1805, PHOSPHORIC ACID SOLUTION, 8, III</t>
  </si>
  <si>
    <t>UN1268, PETROLEUM DISTILLATES, 3, III</t>
  </si>
  <si>
    <t>NA1325, FUSEE, 4.1. II</t>
  </si>
  <si>
    <t>UN1999, TARS, LIQUID, 3, III</t>
  </si>
  <si>
    <t>UN1987, ALCOHOLS, N.O.S., 3, II</t>
  </si>
  <si>
    <t>UN3264, CORROSIVE LIQUID, INORGANIC, N.O.S., 8, II</t>
  </si>
  <si>
    <t>UN1011, BUTANE, 2.1</t>
  </si>
  <si>
    <t>UN1791, HYPOCHLORITE SOLUTION, 8, III</t>
  </si>
  <si>
    <t>UN1950, AEROSOLS, 2.2</t>
  </si>
  <si>
    <t>UN1824, SODIUM HYDROXIDE, SOLUTION, 8, II</t>
  </si>
  <si>
    <t>UN1170, ETHANOL SOLUTION, 3, II</t>
  </si>
  <si>
    <t xml:space="preserve">UN0012, CARTRIDGES, SMALL ARMS, 1.4S, </t>
  </si>
  <si>
    <t>UN1170, ETHYL ALCOHOL SOLUTION, 3, III</t>
  </si>
  <si>
    <t>UN2491, ETHANOLAMINE SOLUTION, 8, III</t>
  </si>
  <si>
    <t>UN2796, BATTERY FLUID, ACID, 8, II</t>
  </si>
  <si>
    <t>UN1266, PERFUMERY PRODUICTS, 3, II</t>
  </si>
  <si>
    <t>UN2234, CHLOROBENZOTRIFLUORIDES, 3, III</t>
  </si>
  <si>
    <t>UN3085, OXIDIZING SOLID, CORROSIVE, N.O.S., 5.1(8), III</t>
  </si>
  <si>
    <t>UN3159, 1,1,1,2-TETRAFLUOROETHANE, 2.2</t>
  </si>
  <si>
    <t>UN2277, ETHYL METHACRYLATE, STABILIZED, 3, II</t>
  </si>
  <si>
    <t>UN1830, SULPHURIC ACID, 8, II</t>
  </si>
  <si>
    <t>UN3066, PAINT RELATED MATERIALS, 8, II</t>
  </si>
  <si>
    <t>COMPANY NAME: PASHA HAWAII</t>
  </si>
  <si>
    <t>Date of Loading:</t>
  </si>
  <si>
    <t>Captain name:</t>
  </si>
  <si>
    <t xml:space="preserve">Nationality:  </t>
  </si>
  <si>
    <t>Load Port:</t>
  </si>
  <si>
    <t>Final Disch Port</t>
  </si>
  <si>
    <t xml:space="preserve">Final Destination </t>
  </si>
  <si>
    <t>Offical Number:</t>
  </si>
  <si>
    <t>Vessel:</t>
  </si>
  <si>
    <t>Voyage:</t>
  </si>
  <si>
    <t>UN1170, ETHANOL, 3, II</t>
  </si>
  <si>
    <t>UN1170, ETHYL ALCOHOL, 3, III</t>
  </si>
  <si>
    <t>UN1193, METHYL ETHYL KETONE, 3, II</t>
  </si>
  <si>
    <t>UN1193, ETHYL METHYL KETONE, 3, II</t>
  </si>
  <si>
    <t>UN1206, HEPTANES, 3, II, Marine Pollutant</t>
  </si>
  <si>
    <t>UN1219, ISOPROPYL, 3, II</t>
  </si>
  <si>
    <t>UN1266, PERFUMERY PRODUICTS, 3, III</t>
  </si>
  <si>
    <t>UN1307, XYLENE, 3, II</t>
  </si>
  <si>
    <t>UN1477, NITRATES, INORGANIC, N.O.S., 5.1, III</t>
  </si>
  <si>
    <t>UN1268, PETROLEUM PRODUCTS, N.O.S., 3, III</t>
  </si>
  <si>
    <t>UN1789, HYDROCHLORIC, ACID, 8, III</t>
  </si>
  <si>
    <t>UN1791, HYPOCHLORITE SOLUTION, 8, II</t>
  </si>
  <si>
    <t>UN1814, POTASSIUMHYDROXIDE, SOLUTION, 8, III</t>
  </si>
  <si>
    <t>UN1987, ALCOHOLS, N.O.S., 3, III</t>
  </si>
  <si>
    <t>UN2491, ETHANOLAMINE, 8, III</t>
  </si>
  <si>
    <t xml:space="preserve">UN2794, BATTERIES, WET, FILLED WITH ACID, 8, </t>
  </si>
  <si>
    <t>UN2984, HYDROGEN PEROXIDE AQUEOUS SOLUTION, 5.1, III</t>
  </si>
  <si>
    <t>UN3066, PAINT RELATED MATERIALS, 8, III</t>
  </si>
  <si>
    <t>UN3066, PAINT, 8, III</t>
  </si>
  <si>
    <t>UN3066, PAINT, 8, II</t>
  </si>
  <si>
    <t>UN3085, OXIDIZING SOLID, CORROSIVE, N.O.S., 5.1(8), I</t>
  </si>
  <si>
    <t>UN3085, OXIDIZING SOLID, CORROSIVE, N.O.S., 5.1(8), II</t>
  </si>
  <si>
    <t>UN3166, ENGINE INTERNAL COMBUSTION, 9, III</t>
  </si>
  <si>
    <t>UN3166, VEHICLE, FLAMMABLE GAS POWERED, 9, III</t>
  </si>
  <si>
    <t>UN3262, CORROSIVE SOLID, BASIC, INORGANIC, N.O.S., 8, II</t>
  </si>
  <si>
    <t>UN3262, CORROSIVE SOLID, BASIC, INORGANIC, N.O.S., 8, I</t>
  </si>
  <si>
    <t>UN3264, CORROSIVE LIQUID, INORGANIC, N.O.S., 8, I</t>
  </si>
  <si>
    <t>UN3264, CORROSIVE LIQUID, INORGANIC, N.O.S., 8, III</t>
  </si>
  <si>
    <t>UN3269, POLYESTER RESIN KIT, 3, II</t>
  </si>
  <si>
    <t xml:space="preserve">UN3470, PAINT RELATED MATERIAL, CORROSIVE, FLAMMABLE, 8,(3), II </t>
  </si>
  <si>
    <t>Basic Hazmat Description</t>
  </si>
  <si>
    <t>Addtl Info</t>
  </si>
  <si>
    <t>FP</t>
  </si>
  <si>
    <t>UN1057, LIGHTERS, 2.1</t>
  </si>
  <si>
    <t>Packagning LAA#</t>
  </si>
  <si>
    <t>United States</t>
  </si>
  <si>
    <t>UN1325, FLAMMABLE SOLID, ORGANIC, N.O.S. ,4.1, III,</t>
  </si>
  <si>
    <t>UN1479, OXIDIZING SOLID, N.O.S. , 5.1, I,</t>
  </si>
  <si>
    <t>UN1479, OXIDIZING SOLID, N.O.S. , 5.1, II,</t>
  </si>
  <si>
    <t>UN1479, OXIDIZING SOLID, N.O.S. , 5.1, III,</t>
  </si>
  <si>
    <t>UN1759, CORROSIVE SOLID, N.O.S., 8, III</t>
  </si>
  <si>
    <t>UN1760, COMPOUNDS, CLEANING LIQUID, 8, I</t>
  </si>
  <si>
    <t xml:space="preserve">UN1760, CORROSIVE LIQUID, N.O.S. , 8, I, </t>
  </si>
  <si>
    <t>UN1760, CORROSIVE LIQUID, N.O.S. , 8, II,</t>
  </si>
  <si>
    <t>UN1760, CORROSIVE LIQUID, N.O.S. , 8, III,</t>
  </si>
  <si>
    <t>MARINE POLLUTANT</t>
  </si>
  <si>
    <t xml:space="preserve">UN1897, TETRACHLOROETHYLENE, 6.1, III, </t>
  </si>
  <si>
    <t xml:space="preserve">UN1992, FLAMMABLE LIQUID, TOXIC, N.O.S., 3(6.1), II,  </t>
  </si>
  <si>
    <t xml:space="preserve">UN1993, FLAMMABLE LIQUID, N.O.S., 3, I, </t>
  </si>
  <si>
    <t xml:space="preserve">UN1993, FLAMMABLE LIQUID, N.O.S., 3, II,  </t>
  </si>
  <si>
    <t xml:space="preserve">UN1993, FLAMMABLE LIQUID, N.O.S., 3, III,  </t>
  </si>
  <si>
    <t>UN2880, CALCIUM HYPOCHLORITE, HYDRATED MIXTURE, 5.1, II,</t>
  </si>
  <si>
    <t xml:space="preserve"> MARINE POLLUTANT</t>
  </si>
  <si>
    <t>UN2880, CALCIUM HYPOCHLORITE, HYDRATED, 5.1, II,</t>
  </si>
  <si>
    <t xml:space="preserve">UN3077, ENVIRONMENTALLY HAZARDOUS SUBSTANCE, SOLID, N.O.S., 9, III,  </t>
  </si>
  <si>
    <t xml:space="preserve">UN3082, ENVIRONMENTALLY HAZARDOUS SUBSTANCE, LIQUID, N.O.S., 9, III,  </t>
  </si>
  <si>
    <t xml:space="preserve">UN3175, SOLIDS, CONTAINING FLAMMABLE LIQUID, N.O.S., 4.1, II  </t>
  </si>
  <si>
    <t xml:space="preserve">UN3265, CORROSIVE LIQUID, ACIDIC, ORGANIC, N.O.S., 8, I  </t>
  </si>
  <si>
    <t xml:space="preserve">UN3265, CORROSIVE LIQUID, ACIDIC, ORGANIC, N.O.S., 8, II  </t>
  </si>
  <si>
    <t xml:space="preserve">UN3265, CORROSIVE LIQUID, ACIDIC, ORGANIC, N.O.S., 8, III </t>
  </si>
  <si>
    <t xml:space="preserve">UN3266, CORROSIVE LIQUID, BASIC, INORGANIC, N.O.S., 8, I ,  </t>
  </si>
  <si>
    <t xml:space="preserve">UN3266, CORROSIVE LIQUID, BASIC, INORGANIC, N.O.S., 8, II ,  </t>
  </si>
  <si>
    <t xml:space="preserve">UN3266, CORROSIVE LIQUID, BASIC, INORGANIC, N.O.S., 8, III ,  </t>
  </si>
  <si>
    <t xml:space="preserve">UN3267, CORROSIVE LIQUID, BASIC,ORGANIC, N.O.S., 8, I,  </t>
  </si>
  <si>
    <t xml:space="preserve">UN3267, CORROSIVE LIQUID, BASIC,ORGANIC, N.O.S., 8, II, </t>
  </si>
  <si>
    <t xml:space="preserve">UN3267, CORROSIVE LIQUID, BASIC,ORGANIC, N.O.S., 8, III,  </t>
  </si>
  <si>
    <t xml:space="preserve">UN3352, PYRETHROID PESTICIDE, LIQUID, TOXIC, 6.1, II </t>
  </si>
  <si>
    <t xml:space="preserve">UN3352, PYRETHROID PESTICIDE, LIQUID, TOXIC, 6.1, III  </t>
  </si>
  <si>
    <t>UN3263, CORROSIVESOLID, BASIC, ORGANIC, N.O.S., 8, I</t>
  </si>
  <si>
    <t>UN3263, CORROSIVESOLID, BASIC, ORGANIC, N.O.S., 8, II</t>
  </si>
  <si>
    <t>UN3263, CORROSIVESOLID, BASIC, ORGANIC, N.O.S., 8, III</t>
  </si>
  <si>
    <t>UN1325, FLAMMABLE SOLID, ORGANIC, N.O.S. ,4.1, II</t>
  </si>
  <si>
    <t>UN1077, PROPYLENE, 2.1</t>
  </si>
  <si>
    <t>UN3253, DISODIUM TRIOXOSILICATE, 8, III</t>
  </si>
  <si>
    <t>UN1903, DISINFECTANT, LIQUID, CORROSIVE, N.O.S., 8, III</t>
  </si>
  <si>
    <t>UN1903, DISINFECTANT, LIQUID, CORROSIVE, N.O.S., 8, I</t>
  </si>
  <si>
    <t>UN1903, DISINFECTANT, LIQUID, CORROSIVE, N.O.S., 8, II</t>
  </si>
  <si>
    <t>UN1823, SODIUM HYDROXIDE, SOLID, 8, II</t>
  </si>
  <si>
    <t>UN1213, ISOBUTYL ACETATE, 3, II</t>
  </si>
  <si>
    <t>UN1044, FIRE EXTINGUISHERS, 2.2</t>
  </si>
  <si>
    <t>UN1866, RESIN SOLUTION, 3 III</t>
  </si>
  <si>
    <t>UN1866, RESIN SOLUTION, 3 II</t>
  </si>
  <si>
    <t>UN1866, RESIN SOLUTION, 3 I</t>
  </si>
  <si>
    <t>UN1648, ACETONITRILE, 3, II</t>
  </si>
  <si>
    <t>UN1208, HEXANES, 3, II</t>
  </si>
  <si>
    <t>UN1719, CAUSTIC ALKALI LIQUIDS, N.O.S., 8, III</t>
  </si>
  <si>
    <t>UN1030, 1,1-DIFLUOROETHANE, 2.1</t>
  </si>
  <si>
    <t>UN2924, FLAMMABLE LIQUID, CORROSIVE, N.O.S., 3(8), II</t>
  </si>
  <si>
    <t>UN3107, ORGANIC PEROXIDE TYPE E. LIQUID, 5.2(8), ii</t>
  </si>
  <si>
    <t>UN1231, METHYL ACETATE, 3, II</t>
  </si>
  <si>
    <t>UN2810, TOXIC LIQUID ORGANIC, N.O.S., 6., II</t>
  </si>
  <si>
    <t>UN3469, PAINT, FLAMMABLE, CORROSIVE,3(8),I</t>
  </si>
  <si>
    <t>UN3469, PAINT, FLAMMABLE, CORROSIVE,3(8),II</t>
  </si>
  <si>
    <t>UN3469, PAINT, FLAMMABLE, CORROSIVE,3(8),III</t>
  </si>
  <si>
    <t>UN3469, PAINT RELATED MATERIAL, FLAMMABLE, CORROSIVE, 3(8), I</t>
  </si>
  <si>
    <t>UN3469, PAINT RELATED MATERIAL, FLAMMABLE, CORROSIVE, 3(8), II</t>
  </si>
  <si>
    <t>UN3469, PAINT RELATED MATERIAL, FLAMMABLE, CORROSIVE, 3(8), III</t>
  </si>
  <si>
    <t>UN1013, CARBON DIOXIDE, 2.2</t>
  </si>
  <si>
    <t>UN2465, DICHLOROISOCYANURIC ACID, DRY, 5.1, II</t>
  </si>
  <si>
    <t>UN2735, AMINES, LIQUID, CORROSIVE, N.O.S., 8, III</t>
  </si>
  <si>
    <t>UN2735, AMINES, LIQUID, CORROSIVE, N.O.S., 8, II</t>
  </si>
  <si>
    <t>UN2735, AMINES, LIQUID, CORROSIVE, N.O.S., 8, I</t>
  </si>
  <si>
    <t>UN2289, ISOPHORONEDIAMINE, 8, III</t>
  </si>
  <si>
    <t>UN1197, EXTRACTS, FLAVORINGS, LIQUID, 3, II</t>
  </si>
  <si>
    <t>UN1197, EXTRACTS, FLAVORINGS, LIQUID, 3, III</t>
  </si>
  <si>
    <t>UN2286, PENTAMETHYLHEPTANE, 3, III</t>
  </si>
  <si>
    <t>UN3261, CORROSIVE SOLID, ACIDIC, ORGANIC, N.O.S., 8, I</t>
  </si>
  <si>
    <t>UN3261, CORROSIVE SOLID, ACIDIC, ORGANIC, N.O.S., 8, II</t>
  </si>
  <si>
    <t>UN3261, CORROSIVE SOLID, ACIDIC, ORGANIC, N.O.S., 8, III</t>
  </si>
  <si>
    <t>UN2037,RECEPTACLES, SMALL, CONTAINING GAS OR GAS CARTRIDGES, 2.2</t>
  </si>
  <si>
    <t>UN2037,RECEPTACLES, SMALL, CONTAINING GAS OR GAS CARTRIDGES, 2.1</t>
  </si>
  <si>
    <t>UN2922, CORROSIVE LIQUID, TOXIC, N.O.S., 8(6.1), 1</t>
  </si>
  <si>
    <t>UN2922, CORROSIVE LIQUID, TOXIC, N.O.S., 8(6.1), 2</t>
  </si>
  <si>
    <t>UN2922, CORROSIVE LIQUID, TOXIC, N.O.S., 8(6.1), 3</t>
  </si>
  <si>
    <t>UN3092. 1-METHOXY-2-PROPANOL, 3, III</t>
  </si>
  <si>
    <t>UN1593, DICHLOROMETHANE, 6.1, III</t>
  </si>
  <si>
    <t>UN1299, TURPENTINE, 3, III</t>
  </si>
  <si>
    <t>UN1139, COATING SOLUTION, 3, II</t>
  </si>
  <si>
    <t>UN1956, COMPRESSED GAS, N.O.S., 2.2</t>
  </si>
  <si>
    <t>UN2813, WATER REACTIVE SOLID, N.O.S., 4.3, II</t>
  </si>
  <si>
    <t>UN0323, CARTRIDGES, POWER DEVICE, 1.4S</t>
  </si>
  <si>
    <t>UN3159, REFRIGERANT GAS, R134S, 2.2</t>
  </si>
  <si>
    <t>UN3145, ALKYLPHENOLS, LIQUID, N.O.S., 8, II</t>
  </si>
  <si>
    <t xml:space="preserve">UN3412, FORMIC ACID, 8, II </t>
  </si>
  <si>
    <t>UN3412, FORMIC ACID, 8, III</t>
  </si>
  <si>
    <t>Technical Name</t>
  </si>
  <si>
    <t>UN2795, BATTERIES, WET FILLED WITH ALKALI, 8</t>
  </si>
  <si>
    <t>UN1072, OXYGEN, COMPRESSED, 2.2(5.1)</t>
  </si>
  <si>
    <t xml:space="preserve">UN3091, LITHIUM METAL BATTERIES PACKED WITH EQUIPMENT, 9, </t>
  </si>
  <si>
    <t xml:space="preserve">UN3091, LITHIUM METAL BATTERIES CONTAINED IN EQUIPMENT 9, </t>
  </si>
  <si>
    <t>UN3090, LITHIUM METAL BATTERIES, 9</t>
  </si>
  <si>
    <t>UN1018, CHLORODIFLUOROMETHANE, 2.2</t>
  </si>
  <si>
    <t>UN1018, REFRIGERANT GAS R22, 2.2</t>
  </si>
  <si>
    <t>UN1017, CHLORINE, 2.3(5.1,8)</t>
  </si>
  <si>
    <t>UN1230, METHANOL, 3, II</t>
  </si>
  <si>
    <t>UN1230, METHANOL, 3(6.1), II</t>
  </si>
  <si>
    <t>UN3337M REFRIGERANT GAS, R 404A, 2.2</t>
  </si>
  <si>
    <t>UN1294, TOLULENE, 3, II</t>
  </si>
  <si>
    <t>UN2672, AMMONIA SOLUTIONS, 8, III</t>
  </si>
  <si>
    <t>UN1262, OCTANES, 3, II</t>
  </si>
  <si>
    <t>UN3480, LITHIUM ION BATTERIES, 9, II</t>
  </si>
  <si>
    <t>UN1203, GASOLINE,3, II</t>
  </si>
  <si>
    <t>UN1203, MOTOR SPIRITS, 3, II</t>
  </si>
  <si>
    <t>UN1203, PETROL,3, II</t>
  </si>
  <si>
    <t>UN1169, EXTRACTS, AROMATIC, LIQUID, 3, II</t>
  </si>
  <si>
    <t>UN1169, EXTRACTS, AROMATIC, LIQUID, 3, III</t>
  </si>
  <si>
    <t>UN3149, HYDROGEN PEROXIDE AND PEROXYACETIC ACID MIXTURE, 5.1(8), II</t>
  </si>
  <si>
    <t>UN3109, ORGANIC PEROXIDE TYPE F, LIQUID, 5.2, II</t>
  </si>
  <si>
    <t>(Technical Name)</t>
  </si>
  <si>
    <t>UN3164, ARTICLES, PRESSURIZEDPNEUMATIC OR HYDRAULIC, 2.2</t>
  </si>
  <si>
    <t>UN3500, CHEMICAL UNDER PRESSURE, N.O.S., 2.2</t>
  </si>
  <si>
    <t>UN1173, ETHYL ACETATE, 3 II</t>
  </si>
  <si>
    <t>UN2699,TRIFLUOROACETIC ACID, 8, I</t>
  </si>
  <si>
    <t>UN2789,ACETIC ACID, GLACIAL, 8(3), ii</t>
  </si>
  <si>
    <t>UN1002, AIR COMPRESSED, 2.2</t>
  </si>
  <si>
    <t>Royal Caribbean Cruise Lines/Chemtel/1-703-527-3887</t>
  </si>
  <si>
    <t>SAMS DC #8230 /SAMS DC /1-800-424-9300</t>
  </si>
  <si>
    <t>Ceva Logistics/1-800-424-9300</t>
  </si>
  <si>
    <t>Crop Production Services/1-800-424-9300</t>
  </si>
  <si>
    <t>Private Citizen / None</t>
  </si>
  <si>
    <t>US Blanks/Fiberblast Hawaii/1-800-255-3925</t>
  </si>
  <si>
    <t>Defense Contract Management Agency S110/USMC/1-800-424-8802</t>
  </si>
  <si>
    <t>Traffic Tech International/Layfield USA Corp / 1-800-424-9300</t>
  </si>
  <si>
    <t>American Warehouse Company Inc /American Warehouse Co /1-800-424-9300</t>
  </si>
  <si>
    <t>Approved Forwarwarders of Hawaii /3E Company/1-888-464-2982</t>
  </si>
  <si>
    <t>Approved Forwarders of Hawaii /Chemtel /1-800-255-3924</t>
  </si>
  <si>
    <t>Approved Forwarders of Hawaii /Gaco Western /1-800-424-9300</t>
  </si>
  <si>
    <t>Approved Forwarders of Hawaii /Infotrac /1-800-535-5053</t>
  </si>
  <si>
    <t>Approved Forwarders of Hawaii /O'Reilly Auto Parts /1-800-424-9300</t>
  </si>
  <si>
    <t>Approved Forwarders of Hawaii /Tnemec / 1-800-535-5053</t>
  </si>
  <si>
    <t>Approved Forwarders of Hawaii /True Value / 1-800-633-8253</t>
  </si>
  <si>
    <t xml:space="preserve">Axiall Corporation /Axiall LLC /1-703-527-3887  </t>
  </si>
  <si>
    <t>Bayer Cropscience LP /Chemtrec /1-703-527-3887</t>
  </si>
  <si>
    <t>California Cartage Company/Chemtrec /1-800-424-9300</t>
  </si>
  <si>
    <t xml:space="preserve">Coastal Auto Shipping /none  /none </t>
  </si>
  <si>
    <t>Coca Cola North America /Dallas CPS CDC /1-800-924-6804</t>
  </si>
  <si>
    <t xml:space="preserve">Costco Depot 960 /3E Company /1-800-451-8346  </t>
  </si>
  <si>
    <t>California Cartage Company /Landmark Logistics/1-800-424-9300</t>
  </si>
  <si>
    <t>Ecolab Inc /1-703-527-3887</t>
  </si>
  <si>
    <t>H2O Logistics /costco /1-800-535-5053</t>
  </si>
  <si>
    <t>H2O Logistics /h2o /1-800-255-3924</t>
  </si>
  <si>
    <t>H2O Logistics /h2O Logistics /1-800-535-5053</t>
  </si>
  <si>
    <t>H2O Logistics /Jason Kob/1-800-535-5053</t>
  </si>
  <si>
    <t>Hawaiian Express Services, Inc/Alpha Aesar/1-800-424-9300</t>
  </si>
  <si>
    <t>Hawaiian Express Service Inc /arc warehouse /1-800-424-9300</t>
  </si>
  <si>
    <t>Hawaiian Express Service Inc /Firestone Building Products /1-800-424-9300</t>
  </si>
  <si>
    <t>Hawaiian Express Service Inc /fisher scientific /1-800-424-9300</t>
  </si>
  <si>
    <t>Hawaiian Express Service Inc /fresenius medical care /1-800-424-9300</t>
  </si>
  <si>
    <t>Hawaiian Express Service Inc /Kiddle Safety/1-800-424-9300</t>
  </si>
  <si>
    <t>Hawaiian Express Service Inc /napa balkamp /1-800-424-9300</t>
  </si>
  <si>
    <t>Hawaiian Express Service Inc /Syngenta Crop Protection /1-800-424-9300</t>
  </si>
  <si>
    <t>P&amp;O PrIncess Cruises/1-800-424-9300</t>
  </si>
  <si>
    <t>Hawaiian Ocean Transport Inc /CRM /1-800-424-9300</t>
  </si>
  <si>
    <t>Hawaiian Ocean Transport Inc /Hawaiian Ocean Transport /1-800-424-9300</t>
  </si>
  <si>
    <t xml:space="preserve">International Auto Logistics LLC /. /.            </t>
  </si>
  <si>
    <t>ABF Freight SYSTEM Inc /Aquatorls Corp of America /1-800-424-9300</t>
  </si>
  <si>
    <t>ABF Freight SYSTEM Inc /Baker Petrolite Corp /1-800-424-9300</t>
  </si>
  <si>
    <t>ABF Freight SYSTEM Inc /Larsens Mfg Co /1-800-424-9300</t>
  </si>
  <si>
    <t>ABF Freight SYSTEM Inc /Nalco Co /1-800-424-9300</t>
  </si>
  <si>
    <t>ABF Freight SYSTEM Inc /NPC Coatings Inc/1-800-424-9300</t>
  </si>
  <si>
    <t>Honolulu Freight Service /JENSEN DIST S /1-800-633-8253</t>
  </si>
  <si>
    <t>International Auto Logistics LLC /HORIZON Lines /1-323-983-2300</t>
  </si>
  <si>
    <t>Old Dominion Freight Line Inc /ESSEX GROUP Inc /1-800-424-9300</t>
  </si>
  <si>
    <t>Old Dominion Freight Line Inc /GOVERNMENT SCIENTIFIC SOURCE /1-800-424-9300</t>
  </si>
  <si>
    <t>Old Dominion Freight Line Inc /Granicret Intl /1-800-633-8253</t>
  </si>
  <si>
    <t>Old Dominion Freight Line Inc /Pilgrim Permocast /1-800-637-3328</t>
  </si>
  <si>
    <t>Old Dominion Freight Line Inc /Steris Corp /1-800-633-8254</t>
  </si>
  <si>
    <t xml:space="preserve">Master LTL BOOKINGS LBC /DAS /1-877-512-2227  </t>
  </si>
  <si>
    <t>Master LTL BOOKINGS LBC /na /0000</t>
  </si>
  <si>
    <t>Procter &amp; Gamble /THE Procter AND Gamble Distributing /1-800-424-9300</t>
  </si>
  <si>
    <t>Hawaiian Express Service Inc /Chemtrec /1-800-424-9300</t>
  </si>
  <si>
    <t>The Home Depot Warehouse #5154 /Behr Paint /1-800-360-3220</t>
  </si>
  <si>
    <t>The Home Depot Warehouse #5154 /Biolab/1-800-360-3220</t>
  </si>
  <si>
    <t>The Home Depot Warehouse #5154 /Energizer /1-800-360-3220</t>
  </si>
  <si>
    <t>The Home Depot Warehouse #5154 /Homax Group /1-800-360-3220</t>
  </si>
  <si>
    <t>The Home Depot Warehouse #5154 /Howard /1-800-360-3220</t>
  </si>
  <si>
    <t>The Home Depot Warehouse #5154 /Plasti Dip /1-800-360-3220</t>
  </si>
  <si>
    <t>The Home Depot Warehouse #5154 /Scotts /1-800-360-3220</t>
  </si>
  <si>
    <t>The Home Depot Warehouse #5154 /Sika /1-800-360-3220</t>
  </si>
  <si>
    <t>The Home Depot Warehouse #5154 /TR Industries /1-800-360-3220</t>
  </si>
  <si>
    <t>The Home Depot Warehouse #5154 /Weiman Products /1-800-360-3220</t>
  </si>
  <si>
    <t>The Home Depot Warehouse #5154 /Welman /1-800-360-3220</t>
  </si>
  <si>
    <t>Target Specialty Products /Chemtrec /1-800-424-9300</t>
  </si>
  <si>
    <t>Wal-Mart DC #6021 /Chemtrec  /1-800-424-9300</t>
  </si>
  <si>
    <t>Wal-Mart DC #6021 /Chemtrec /1-800-424-9300</t>
  </si>
  <si>
    <t>Wal-Mart DC #6021 /Wal Mart Stores East /1-800-424-9300</t>
  </si>
  <si>
    <t>Wal-Mart DC #7047 /Fontana CA Dry DC /1-800-424-9300</t>
  </si>
  <si>
    <t>The Sports Authority DC #845 /The Sports Authority /1-800-451-8346</t>
  </si>
  <si>
    <t>The Home Depot Warehouse #5154 /WM Barr /1-800-360-3220</t>
  </si>
  <si>
    <t>The Home Depot Warehouse #5154 /Weiman products /1-800-360-3220</t>
  </si>
  <si>
    <t>The Home Depot Warehouse #5154 /Trusouth oil /1-800-360-3220</t>
  </si>
  <si>
    <t>The Home Depot Warehouse #5154 /Scotch /1-800-360-3220</t>
  </si>
  <si>
    <t>The Home Depot Warehouse #5154 /Rust-oleum /1-800-360-3220</t>
  </si>
  <si>
    <t>The Home Depot Warehouse #5154 /Nation Wide Products /1-800-360-3220</t>
  </si>
  <si>
    <t>The Home Depot Warehouse #5154 /Minwax /1-800-360-3220</t>
  </si>
  <si>
    <t>The Home Depot Warehouse #5154 /Marsh Industrial Whse /1-800-360-3220</t>
  </si>
  <si>
    <t>The Home Depot Warehouse #5154 /Macco /1-800-360-3220</t>
  </si>
  <si>
    <t>The Home Depot Warehouse #5154 /Kidde /1-800-360-3220</t>
  </si>
  <si>
    <t>The Home Depot Warehouse #5154 /Gardner Bender /1-800-360-3220</t>
  </si>
  <si>
    <t>The Home Depot Warehouse #5154 /Gorilla Glue /1-800-360-3220</t>
  </si>
  <si>
    <t>The Home Depot Warehouse #5154 Henkel /1-800-360-3220</t>
  </si>
  <si>
    <t>The Home Depot Warehouse #5154 /Full Spektrem /1-800-360-3220</t>
  </si>
  <si>
    <t>The Home Depot Warehouse #5154 /Enforcer /1-800-360-3220</t>
  </si>
  <si>
    <t>The Home Depot Warehouse #5154 /Deft Inc /1-800-360-3220</t>
  </si>
  <si>
    <t>The Home Depot Warehouse #5154 /CRC /1-800-360-3220</t>
  </si>
  <si>
    <t>The Home Depot Warehouse #5154 /Calico /1-800-360-3220</t>
  </si>
  <si>
    <t>The Home Depot Warehouse #5154 /Blaster Chemical Company /1-800-360-3220</t>
  </si>
  <si>
    <t>The Home Depot Warehouse #5154 /Bernzomatic /1-800-360-3220</t>
  </si>
  <si>
    <t>The Home Depot Warehouse #5154 /Amtrol Incorporated /1-800-360-3220</t>
  </si>
  <si>
    <t>The Home Depot Warehouse #5154 /3E Compan /1-800-360-3220</t>
  </si>
  <si>
    <t>Royal Hawaiian Express /Capital Freight /1-800-424-9300</t>
  </si>
  <si>
    <t>Royal Hawaiian Express /Chemtrec  /1-800-424-9300</t>
  </si>
  <si>
    <t>Royal Hawaiian Express /Club CAR / RBW Logistics WAREHOUSE /1-800-424-9300</t>
  </si>
  <si>
    <t>Royal Hawaiian Express /Consumer Group /1-800-424-9300</t>
  </si>
  <si>
    <t>Royal Hawaiian Express /Ecolab Pest Elemination /1-800-424-9300</t>
  </si>
  <si>
    <t>Royal Hawaiian Express /John Deere Parts/1-800-424-9299</t>
  </si>
  <si>
    <t>Royal Hawaiian Express /Kimberly Clark SKIN CARE /1-800-424-9300</t>
  </si>
  <si>
    <t>Royal Hawaiian Express /Kitchenware Craft Inc/1-800-424-9299</t>
  </si>
  <si>
    <t>Royal Hawaiian Express /Leslies Poolmart /1-800-424-9300</t>
  </si>
  <si>
    <t>Royal Hawaiian Express /Matheson Tri Gas /1-800-424-9300</t>
  </si>
  <si>
    <t>Royal Hawaiian Express /Oatey CO /1-800-424-9300</t>
  </si>
  <si>
    <t>Royal Hawaiian Express /Plast Tech Enterprises /1-800-424-9300</t>
  </si>
  <si>
    <t>Royal Hawaiian Express /Sherwin Williams /1-800-424-9300</t>
  </si>
  <si>
    <t>Royal Hawaiian Express /Spartan Chemical/1-800-424-9300</t>
  </si>
  <si>
    <t>Royal Hawaiian Express /Stihl Inc /1-800-424-9300</t>
  </si>
  <si>
    <t>Royal Hawaiian Express /Syngenta Crop Protection /1-800-888-8372</t>
  </si>
  <si>
    <t>Royal Hawaiian Express /Trane Global Parts Southhaven /1-800-424-9300</t>
  </si>
  <si>
    <t>Royal Hawaiian Express /Wetherill Associates Inc /1-800-424-9300</t>
  </si>
  <si>
    <t>Royal Hawaiian Express /Xpedx/1-800-424-9300</t>
  </si>
  <si>
    <t>Kraft Foods Warehouse/DSC Logistics/1-951-436-7107</t>
  </si>
  <si>
    <t>Kraft Foods USA /Exel Logistics /1-916-371-5747</t>
  </si>
  <si>
    <t xml:space="preserve">(Technical Name) FP </t>
  </si>
  <si>
    <t>Poison Inhalation Hazard Zone B, Marine Pollutant, RQ</t>
  </si>
  <si>
    <t>NA1993, COMBUSTIBLE LIQUID, N.O.S.</t>
  </si>
  <si>
    <t>UN1030, REFRIGERANT GAS, R152A, 2.1</t>
  </si>
  <si>
    <t>Weight Lbs</t>
  </si>
  <si>
    <t>4040 Civic Center Drive - Suite 350 - San Rafael, CA 94903</t>
  </si>
  <si>
    <t>HNL</t>
  </si>
  <si>
    <t>Limited QTY</t>
  </si>
  <si>
    <t>Marine Pollutant</t>
  </si>
  <si>
    <t>POL</t>
  </si>
  <si>
    <t>FPOD</t>
  </si>
  <si>
    <t>NULL</t>
  </si>
  <si>
    <t>Flash Point</t>
  </si>
  <si>
    <t>Additional Information</t>
  </si>
  <si>
    <t>LBA</t>
  </si>
  <si>
    <t>UN1325,FLAMMABLE SOLIDS, ORGANIC, N.O.S., 4.1,III</t>
  </si>
  <si>
    <t>(CYCLOPENTASILOXANE PARAFFIN)</t>
  </si>
  <si>
    <t>Ltd Qty</t>
  </si>
  <si>
    <t>1 TO</t>
  </si>
  <si>
    <t>HONOLULU, HI (HNL)</t>
  </si>
  <si>
    <t>WALGREEN 3E ACCT 4595 / 1-877-358-7434</t>
  </si>
  <si>
    <t>UN3481,LITHIUM ION BATTERIES CONTAINED IN EQUIPMENT, 9,</t>
  </si>
  <si>
    <t>3 BX</t>
  </si>
  <si>
    <t>UN1030,1,1-DIFLUOROETHANE, 2.1,</t>
  </si>
  <si>
    <t>1 CN</t>
  </si>
  <si>
    <t>UN3082,ENVIRONMENTALLY HAZARDOUS SUBSTANCE, LIQUID, N.O.S., 9,III</t>
  </si>
  <si>
    <t>ODYSSEY/SHERWIN WILLIAMS CO / 18004249300</t>
  </si>
  <si>
    <t>1 BX</t>
  </si>
  <si>
    <t>UN3090,LITHIUM METAL BATTERIES, 9,</t>
  </si>
  <si>
    <t>5 CN</t>
  </si>
  <si>
    <t>AFF O'REILLY AUTO PARTS / 18884642982</t>
  </si>
  <si>
    <t>UN3161,LIQUEFIED GAS, FLAMMABLE, N.O.S., 2.1,</t>
  </si>
  <si>
    <t>2 CN</t>
  </si>
  <si>
    <t>UN3149,HYDROGEN PEROXIDE AND PEROXYACETIC ACID MIXTURES, STABILIZED, 5.1(8),II</t>
  </si>
  <si>
    <t>UN1011,BUTANE, 2.1,</t>
  </si>
  <si>
    <t>3 CN</t>
  </si>
  <si>
    <t>4 CN</t>
  </si>
  <si>
    <t>12 CN</t>
  </si>
  <si>
    <t>24 CN</t>
  </si>
  <si>
    <t>UN1993,FLAMMABLE LIQUIDS, N.O.S., 3,III</t>
  </si>
  <si>
    <t>(ETHYL ALCOHOL)</t>
  </si>
  <si>
    <t>UN1993,FLAMMABLE LIQUIDS, N.O.S., 3,II</t>
  </si>
  <si>
    <t>40C</t>
  </si>
  <si>
    <t>19.5C</t>
  </si>
  <si>
    <t>UN1511,UREA HYDROGEN PEROXIDE, 5.1(8),III</t>
  </si>
  <si>
    <t>28C</t>
  </si>
  <si>
    <t>UN1075,PETROLEUM GASES, LIQUEFIED, 2.1,</t>
  </si>
  <si>
    <t>UN1170,ETHANOL, 3,III</t>
  </si>
  <si>
    <t>24C</t>
  </si>
  <si>
    <t>(ETHANOL)</t>
  </si>
  <si>
    <t>21C</t>
  </si>
  <si>
    <t>(ACETONE)</t>
  </si>
  <si>
    <t>WAL-MART DC #7033 /CHEMTREC/ APPLE VALLEY, CA / 1-800-424-9300</t>
  </si>
  <si>
    <t>UN3108,ORGANIC PEROXIDE TYPE E, SOLID, 5.2,</t>
  </si>
  <si>
    <t>UN3143,DYES, SOLID, TOXIC, N.O.S., 6.1,III</t>
  </si>
  <si>
    <t>UN3265,CORROSIVE LIQUID, ACIDIC, ORGANIC, N.O.S., 8,III</t>
  </si>
  <si>
    <t>(CITRIC ACID MALIC ACID)</t>
  </si>
  <si>
    <t>14 CN</t>
  </si>
  <si>
    <t>UN2037,GAS CARTRIDGES, 2.1,</t>
  </si>
  <si>
    <t>7 CN</t>
  </si>
  <si>
    <t>(2,3,3,3-TETRAFLUOROETHANE)</t>
  </si>
  <si>
    <t>6 CN</t>
  </si>
  <si>
    <t>UN3171,BATTERY-POWERED VEHICLE, 9,</t>
  </si>
  <si>
    <t>32 CN</t>
  </si>
  <si>
    <t>UN3480,LITHIUM ION BATTERIES, 9,</t>
  </si>
  <si>
    <t>UN1133,ADHESIVES, 3,II</t>
  </si>
  <si>
    <t>13C</t>
  </si>
  <si>
    <t>UN1077,PROPYLENE, 2.1,</t>
  </si>
  <si>
    <t>21 CN</t>
  </si>
  <si>
    <t>28 CN</t>
  </si>
  <si>
    <t>36 CN</t>
  </si>
  <si>
    <t>20 CN</t>
  </si>
  <si>
    <t>9 CN</t>
  </si>
  <si>
    <t>18 CN</t>
  </si>
  <si>
    <t>17 CN</t>
  </si>
  <si>
    <t>11 CN</t>
  </si>
  <si>
    <t>UN1170,ETHANOL, 3,II</t>
  </si>
  <si>
    <t>UN2286,PENTAMETHYLHEPTANE, 3,III</t>
  </si>
  <si>
    <t>2 TO</t>
  </si>
  <si>
    <t>(ISODODECANE ETHANOL)</t>
  </si>
  <si>
    <t>43C</t>
  </si>
  <si>
    <t>UN1263,PAINT, 3,II</t>
  </si>
  <si>
    <t>(BUTYL ACETATE ETHYL ACETATE)</t>
  </si>
  <si>
    <t>-45C</t>
  </si>
  <si>
    <t>UN1247,METHYL METHACRYLATE MONOMER, STABILIZED, 3,II</t>
  </si>
  <si>
    <t>12C</t>
  </si>
  <si>
    <t>12.7C</t>
  </si>
  <si>
    <t>UN1266,PERFUMERY PRODUCTS, 3,III</t>
  </si>
  <si>
    <t>UN1197,EXTRACTS, LIQUID, 3,III</t>
  </si>
  <si>
    <t>57C</t>
  </si>
  <si>
    <t>PGHU4505674</t>
  </si>
  <si>
    <t>UN1987,ALCOHOLS, N.O.S., 3,III</t>
  </si>
  <si>
    <t>25C</t>
  </si>
  <si>
    <t>19C</t>
  </si>
  <si>
    <t>(ETHYL ALCOHOL, ETHYL ACETATE)</t>
  </si>
  <si>
    <t>3 TO</t>
  </si>
  <si>
    <t>15C</t>
  </si>
  <si>
    <t>(ISOPROPYL ALCOHOL)</t>
  </si>
  <si>
    <t>(ALCOHOL DENATURED)</t>
  </si>
  <si>
    <t>38C</t>
  </si>
  <si>
    <t>UN1950,AEROSOLS, 2.1,</t>
  </si>
  <si>
    <t>33C</t>
  </si>
  <si>
    <t>UN1133,ADHESIVES, 3,III</t>
  </si>
  <si>
    <t>UN3175,SOLIDS CONTAINING FLAMMABLE LIQUID, N.O.S., 4.1,II</t>
  </si>
  <si>
    <t>UN2277,ETHYL METHACRYLATE, STABILIZED, 3,II</t>
  </si>
  <si>
    <t>4C</t>
  </si>
  <si>
    <t>UN1954,COMPRESSED GAS, FLAMMABLE, N.O.S., 2.1,</t>
  </si>
  <si>
    <t>(DIMETHYL ETHER, PROPANE)</t>
  </si>
  <si>
    <t>(ACETONE ETHYL ACETATE)</t>
  </si>
  <si>
    <t>-20C</t>
  </si>
  <si>
    <t>(ISOPROPANOL)</t>
  </si>
  <si>
    <t>41C</t>
  </si>
  <si>
    <t>UN1090,ACETONE, 3,II</t>
  </si>
  <si>
    <t>(ETHYL ACETATE ACETONE)</t>
  </si>
  <si>
    <t>-16C</t>
  </si>
  <si>
    <t>UN1263,PAINT, 3,III</t>
  </si>
  <si>
    <t>23C</t>
  </si>
  <si>
    <t>(SODIUM HYPOCHLORITE, SODIUM HYDROXIDE)</t>
  </si>
  <si>
    <t>UN1033,DIMETHYL ETHER, 2.1,</t>
  </si>
  <si>
    <t>59C</t>
  </si>
  <si>
    <t>(ETHYL ETHER ETHYL ALCOHOL)</t>
  </si>
  <si>
    <t>UN1760,CORROSIVE LIQUIDS, N.O.S., 8,II</t>
  </si>
  <si>
    <t>(ETHANOLAMINE AMMONIUM HYDROXIDE)</t>
  </si>
  <si>
    <t>(AMMONIUM HYDROXIDE ETHANOLAMINE)</t>
  </si>
  <si>
    <t>(DIMETHYL ETHER ISOBUTANE)</t>
  </si>
  <si>
    <t>18C</t>
  </si>
  <si>
    <t>UN1987,ALCOHOLS, N.O.S., 3,II</t>
  </si>
  <si>
    <t>10C</t>
  </si>
  <si>
    <t>18.9C</t>
  </si>
  <si>
    <t>(ACETONE, ETHYL ACETATE)</t>
  </si>
  <si>
    <t>UN1760,CORROSIVE LIQUIDS, N.O.S., 8,III</t>
  </si>
  <si>
    <t>(ETHANOLAMINE)</t>
  </si>
  <si>
    <t>14C</t>
  </si>
  <si>
    <t>UN2920,CORROSIVE LIQUIDS, FLAMMABLE,N.O.S., 8(3),II</t>
  </si>
  <si>
    <t>(AMMONIUM HYDROXIDE ETHANOL)</t>
  </si>
  <si>
    <t>(CITRIC ACID)</t>
  </si>
  <si>
    <t>UN1266,PERFUMERY PRODUCTS, 3,II</t>
  </si>
  <si>
    <t>UN3085,OXIDIZING SOLID, CORROSIVE, N.O.S., 5.1(8),II</t>
  </si>
  <si>
    <t>(POTASSIUM PERSULFATE SODIUM SILICATE)</t>
  </si>
  <si>
    <t>(ETHYL ETHER, ETHYL ALCOHOL)</t>
  </si>
  <si>
    <t>UN1170,ETHANOL SOLUTIONS, 3,III</t>
  </si>
  <si>
    <t>22C</t>
  </si>
  <si>
    <t>17C</t>
  </si>
  <si>
    <t>-19C</t>
  </si>
  <si>
    <t>(ETHANOL, ISODODECANE)</t>
  </si>
  <si>
    <t>34C</t>
  </si>
  <si>
    <t>(2,5-TOLUENEDIAMINE SULFATE)</t>
  </si>
  <si>
    <t>9 TO</t>
  </si>
  <si>
    <t>5 TO</t>
  </si>
  <si>
    <t>UN1139,COATING SOLUTION, 3,II</t>
  </si>
  <si>
    <t>-10C</t>
  </si>
  <si>
    <t>UN1170,ETHANOL SOLUTIONS, 3,II</t>
  </si>
  <si>
    <t>UN1219,ISOPROPANOL, 3,II</t>
  </si>
  <si>
    <t>UN1325,FLAMMABLE SOLIDS, ORGANIC, N.O.S., 4.1,II</t>
  </si>
  <si>
    <t>(CYCLOPENTASILOXANE)</t>
  </si>
  <si>
    <t>UN3085,OXIDIZING SOLID, CORROSIVE, N.O.S., 5.1(8),III</t>
  </si>
  <si>
    <t>6 TO</t>
  </si>
  <si>
    <t>DRYU4575958</t>
  </si>
  <si>
    <t>UN1263,PAINT RELATED MATERIAL, 3,III</t>
  </si>
  <si>
    <t>UN1866,RESIN SOLUTION, 3,II</t>
  </si>
  <si>
    <t>(2-PROPANOL)</t>
  </si>
  <si>
    <t>UN3264,CORROSIVE LIQUID, ACIDIC, INORGANIC, N.O.S., 8,III</t>
  </si>
  <si>
    <t>(PHOSPHORIC ACID, HYDROXYACETIC ACID)</t>
  </si>
  <si>
    <t>UN3266,CORROSIVE LIQUID, BASIC, INORGANIC, N.O.S., 8,II</t>
  </si>
  <si>
    <t>(SODIUM HYDROXIDE)</t>
  </si>
  <si>
    <t>UN3295,HYDROCARBONS, LIQUID, N.O.S., 3,II</t>
  </si>
  <si>
    <t>UN1197,EXTRACTS, LIQUID, 3,II</t>
  </si>
  <si>
    <t>-4C</t>
  </si>
  <si>
    <t>20C</t>
  </si>
  <si>
    <t>(D-LIMONENE, ALCOHOL)</t>
  </si>
  <si>
    <t>(D-LIMONENE ALCOHOL)</t>
  </si>
  <si>
    <t>(SD ALCOHOL 40)</t>
  </si>
  <si>
    <t>45C</t>
  </si>
  <si>
    <t>(BUTAN-1-OL)</t>
  </si>
  <si>
    <t>UN3139,OXIDIZING LIQUID, N.O.S, 5.1,III</t>
  </si>
  <si>
    <t>(PETROLEUM DISTILLATES, ISOPROPANOL)</t>
  </si>
  <si>
    <t>31C</t>
  </si>
  <si>
    <t>8 CN</t>
  </si>
  <si>
    <t>UN1263,PAINT RELATED MATERIAL, 3,II</t>
  </si>
  <si>
    <t>UN2924,FLAMMABLE LIQUIDS, CORROSIVE,N.O.S., 3(8),III</t>
  </si>
  <si>
    <t>(ETHANOLAMINE ETHANOL)</t>
  </si>
  <si>
    <t>29C</t>
  </si>
  <si>
    <t>17.2C</t>
  </si>
  <si>
    <t>(ETHANOLAMINE, AMMONIUM HYDROXIDE)</t>
  </si>
  <si>
    <t>16C</t>
  </si>
  <si>
    <t>UN2984,HYDROGEN PEROXIDE, AQUEOUS SOLUTIONS, 5.1,III</t>
  </si>
  <si>
    <t>UN3469,PAINT RELATED MATERIAL, FLAMMABLE, CORROSIVE, 3(8),II</t>
  </si>
  <si>
    <t>1C</t>
  </si>
  <si>
    <t>UN3469,PAINT, FLAMMABLE, CORROSIVE, 3(8),II</t>
  </si>
  <si>
    <t>6C</t>
  </si>
  <si>
    <t>(AMMONIUM HYDROXIDE)</t>
  </si>
  <si>
    <t>10 CN</t>
  </si>
  <si>
    <t>19 CN</t>
  </si>
  <si>
    <t>(POTASSIUM PERSULPHATE SODIUM METASILICATE)</t>
  </si>
  <si>
    <t>(AMMONIUM HYDROXIDE, ETHANOLAMINE)</t>
  </si>
  <si>
    <t>UN3215,PERSULFATES, INORGANIC, N.O.S., 5.1,III</t>
  </si>
  <si>
    <t>(SD ALCOHOL 40, ETHANOL)</t>
  </si>
  <si>
    <t>(AMMONIUM HYDROXIDE, ETHANOL)</t>
  </si>
  <si>
    <t>DRYU4576213</t>
  </si>
  <si>
    <t>16 CN</t>
  </si>
  <si>
    <t>(AMINES TALLOW ALKYL ETHOXYLATED HYDROCHLORIC ACID)</t>
  </si>
  <si>
    <t>(MALIC ACID, CITRIC ACID)</t>
  </si>
  <si>
    <t>UN3266,CORROSIVE LIQUID, BASIC, INORGANIC, N.O.S., 8,III</t>
  </si>
  <si>
    <t>(CITRIC ACID, MALIC ACID)</t>
  </si>
  <si>
    <t>30 CN</t>
  </si>
  <si>
    <t>(ETHANOL, LIMONENE)</t>
  </si>
  <si>
    <t>22 CN</t>
  </si>
  <si>
    <t>UN2922,CORROSIVE LIQUIDS, TOXIC, N.O.S., 8(6.1),II</t>
  </si>
  <si>
    <t>UN1044,FIRE EXTINGUISHERS, 2.2,</t>
  </si>
  <si>
    <t>2 BX</t>
  </si>
  <si>
    <t>UN3269,POLYESTER RESIN KIT, 3,III</t>
  </si>
  <si>
    <t>(1-BROMO-3-CHLORO-5,5-DIMETHYL-2,4-IMIDAZOLIDINEDIONE, 1,3-DICHLORO-5-ETHYL-5-METHYL-2,4-IMIDAZOLIDINEDIONE)</t>
  </si>
  <si>
    <t>UN1206,HEPTANES, 3,II</t>
  </si>
  <si>
    <t>27C</t>
  </si>
  <si>
    <t>UN1950,AEROSOLS, 2.2,</t>
  </si>
  <si>
    <t>(HYDROGEN PEROXIDE)</t>
  </si>
  <si>
    <t>(SODIUM HYPOCHLORITE SODIUM HYDROXIDE)</t>
  </si>
  <si>
    <t>UN1805,PHOSPHORIC ACID SOLUTION, 8,III</t>
  </si>
  <si>
    <t>UN1950,AEROSOLS, 2.1(8),</t>
  </si>
  <si>
    <t>4 BX</t>
  </si>
  <si>
    <t>UN1139,COATING SOLUTION, 3,III</t>
  </si>
  <si>
    <t>UN1268,PETROLEUM DISTILLATES, N.O.S., 3,III</t>
  </si>
  <si>
    <t>UN1268,PETROLEUM PRODUCT, N.O.S., 3,III</t>
  </si>
  <si>
    <t>39C</t>
  </si>
  <si>
    <t>7 BX</t>
  </si>
  <si>
    <t>UN3091,LITHIUM METAL BATTERIES CONTAINED IN EQUIPMENT, 9,</t>
  </si>
  <si>
    <t>UN1496,SODIUM CHLORITE, 5.1,II</t>
  </si>
  <si>
    <t>(BENZOYL PEROXIDE, 30-60%)</t>
  </si>
  <si>
    <t>UN3159,1,1,1,2-TETRAFLUOROETHANE (R 134A), 2.2,</t>
  </si>
  <si>
    <t>(TURPENTINE SUBSTITUTE, XYLENE)</t>
  </si>
  <si>
    <t>27.8C</t>
  </si>
  <si>
    <t>UN2735,AMINES, LIQUID, CORROSIVE, N.O.S., 8,II</t>
  </si>
  <si>
    <t>UN1789,HYDROCHLORIC ACID, 8,III</t>
  </si>
  <si>
    <t>UN1759,CORROSIVE SOLIDS, N.O.S., 8,II</t>
  </si>
  <si>
    <t>(HYDROFLORIC ACID, PHOSPHORIC ACID)</t>
  </si>
  <si>
    <t>UN1791,HYPOCHLORITE SOLUTIONS, 8,II</t>
  </si>
  <si>
    <t>UN1791,HYPOCHLORITE SOLUTIONS, 8,III</t>
  </si>
  <si>
    <t>7C</t>
  </si>
  <si>
    <t>NFI CLEANING KIT / 18003603220</t>
  </si>
  <si>
    <t>NFI PLASTI DIP / 18003603220</t>
  </si>
  <si>
    <t>UN3264,CORROSIVE LIQUID, ACIDIC, INORGANIC, N.O.S., 8,II</t>
  </si>
  <si>
    <t>(HYDROCHLORIC ACID)</t>
  </si>
  <si>
    <t>(BENZENE-1,3-DIMETHANEAMINE)</t>
  </si>
  <si>
    <t>UN1824,SODIUM HYDROXIDE SOLUTION, 8,II</t>
  </si>
  <si>
    <t>UN3164,ARTICLES, PRESSURIZED, PNEUMATIC, 2.2,</t>
  </si>
  <si>
    <t xml:space="preserve"> DOT-SP11516</t>
  </si>
  <si>
    <t>(SULPHAMIDIC ACID)</t>
  </si>
  <si>
    <t>UN1903,DISINFECTANTS, LIQUID, CORROSIVE, N.O.S., 8,III</t>
  </si>
  <si>
    <t>(QUATERNARY AMMONIUM COMPOUNDS, BENZYL-C12-16-ALKYLDIMETHYL, CHLORIDES, 1-DECANAMINIUM, N,N-DIMETHYL-N-OCTYL-, CHLORIDE, DIDECYL DIMETHYL AMMONIUM CHLORIDE)</t>
  </si>
  <si>
    <t>(SODIUM CHLORIDE)</t>
  </si>
  <si>
    <t>(QUATERNARY AMMONIUM COMPOUNDS)</t>
  </si>
  <si>
    <t>WALMART HUNTER PARK / 1-800-424-9300</t>
  </si>
  <si>
    <t>UN1823,SODIUM HYDROXIDE, SOLID, 8,II</t>
  </si>
  <si>
    <t>(SODIUM HYDROXIDE, 2-AMINOETHANOL)</t>
  </si>
  <si>
    <t>UN1334,NAPHTHALENE, REFINED, 4.1,III</t>
  </si>
  <si>
    <t>UN1203,GASOLINE, 3,II</t>
  </si>
  <si>
    <t>-40C</t>
  </si>
  <si>
    <t>UN2794,BATTERIES, WET, FILLED WITH ACID, 8,</t>
  </si>
  <si>
    <t>(AMINES, TALLOW ALKYL, ETHOXYLATED, HYDROCHLORIC ACID)</t>
  </si>
  <si>
    <t>1 CS</t>
  </si>
  <si>
    <t>(SODIUM HYPOCHLORITE)</t>
  </si>
  <si>
    <t>7 TO</t>
  </si>
  <si>
    <t>(SULFAMIC ACID)</t>
  </si>
  <si>
    <t>UN1992,FLAMMABLE LIQUIDS, TOXIC, N.O.S., 3(6.1),III</t>
  </si>
  <si>
    <t>(CONTAINS KEROSENE)</t>
  </si>
  <si>
    <t>32C</t>
  </si>
  <si>
    <t>35 CN</t>
  </si>
  <si>
    <t>(CITRIC ACID, HYDROGEN PEROXIDE)</t>
  </si>
  <si>
    <t>ODYSSEY/BENJAMIN MOORE / 18004249300</t>
  </si>
  <si>
    <t>25 CN</t>
  </si>
  <si>
    <t>5 BX</t>
  </si>
  <si>
    <t>(DODECYLBENZENESULFONIC ACID)</t>
  </si>
  <si>
    <t>13 CN</t>
  </si>
  <si>
    <t>9 BX</t>
  </si>
  <si>
    <t>ODYSSEY/KEM KREST / 18004249300</t>
  </si>
  <si>
    <t>NFI WEIMAN PRODUCTS / 18003603220</t>
  </si>
  <si>
    <t>NFI BRYSON / 18003603220</t>
  </si>
  <si>
    <t>UN1956,COMPRESSED GAS, N.O.S., 2.2,</t>
  </si>
  <si>
    <t>PGHU4507785</t>
  </si>
  <si>
    <t>NFI EXEL/SC JOHNSON / 18003603220</t>
  </si>
  <si>
    <t>NFI 3-M COMPANY / 18003603220</t>
  </si>
  <si>
    <t xml:space="preserve"> RQ</t>
  </si>
  <si>
    <t>UN3077,ENVIRONMENTALLY HAZARDOUS SUBSTANCE, SOLID, N.O.S., 9,III</t>
  </si>
  <si>
    <t>72 CS</t>
  </si>
  <si>
    <t>1 CY</t>
  </si>
  <si>
    <t>(CONTAINS SODIUM HYDROXIDE)</t>
  </si>
  <si>
    <t>2 DR</t>
  </si>
  <si>
    <t>31 BX</t>
  </si>
  <si>
    <t>15 CN</t>
  </si>
  <si>
    <t>UN1219,ISOPROPYL ALCOHOL SOLUTION, 3,II</t>
  </si>
  <si>
    <t>6 CS</t>
  </si>
  <si>
    <t>KRAFT FOODS / 1-951-436-7109</t>
  </si>
  <si>
    <t>23 CN</t>
  </si>
  <si>
    <t>Costco Depot 960 /3E Company / 1-800-451-8346</t>
  </si>
  <si>
    <t>11 BX</t>
  </si>
  <si>
    <t>12 BX</t>
  </si>
  <si>
    <t>27 CN</t>
  </si>
  <si>
    <t>18 BX</t>
  </si>
  <si>
    <t>58 CN</t>
  </si>
  <si>
    <t>(CONTAINS DIBUTYL PHTHALATE)</t>
  </si>
  <si>
    <t>11 CS</t>
  </si>
  <si>
    <t>108 CS</t>
  </si>
  <si>
    <t>UN3269,POLYESTER RESIN KIT, 3,II</t>
  </si>
  <si>
    <t>57 CN</t>
  </si>
  <si>
    <t>28 CS</t>
  </si>
  <si>
    <t>26 CN</t>
  </si>
  <si>
    <t>37 CN</t>
  </si>
  <si>
    <t>360 CS</t>
  </si>
  <si>
    <t>320 CS</t>
  </si>
  <si>
    <t>22.2C</t>
  </si>
  <si>
    <t>336 CS</t>
  </si>
  <si>
    <t>6 PA</t>
  </si>
  <si>
    <t>3 CS</t>
  </si>
  <si>
    <t>UN3268,SAFETY DEVICES, 9,</t>
  </si>
  <si>
    <t>UN1002,AIR, COMPRESSED, 2.2,</t>
  </si>
  <si>
    <t>4 DR</t>
  </si>
  <si>
    <t xml:space="preserve">Captain name: </t>
  </si>
  <si>
    <t>MARK TUCK</t>
  </si>
  <si>
    <t>G2</t>
  </si>
  <si>
    <t>G2068W</t>
  </si>
  <si>
    <t>COSTCO / 1-800-451-8346</t>
  </si>
  <si>
    <t>CAIU5870540</t>
  </si>
  <si>
    <t>3606810166</t>
  </si>
  <si>
    <t>48 BX</t>
  </si>
  <si>
    <t>CAIU5871110</t>
  </si>
  <si>
    <t>3606810142</t>
  </si>
  <si>
    <t>ODYSSEY/STANLEY BLACK &amp; DECKER / 18004249300</t>
  </si>
  <si>
    <t>CAIU5872517</t>
  </si>
  <si>
    <t>3606811423</t>
  </si>
  <si>
    <t>CAIU5872754</t>
  </si>
  <si>
    <t>14 BX</t>
  </si>
  <si>
    <t>THE HOME DEPOT ONTARIO / 1-800-451-8346</t>
  </si>
  <si>
    <t>CAIU5872923</t>
  </si>
  <si>
    <t>3606812026</t>
  </si>
  <si>
    <t>PGHU4025417</t>
  </si>
  <si>
    <t>3606811003</t>
  </si>
  <si>
    <t>-17 C</t>
  </si>
  <si>
    <t>PGHU4014897</t>
  </si>
  <si>
    <t>3606811006</t>
  </si>
  <si>
    <t>(ETHYL ALCOHOL PENTAMETHYLHEPTANE)</t>
  </si>
  <si>
    <t>47  C</t>
  </si>
  <si>
    <t>DRYU4578113</t>
  </si>
  <si>
    <t>3606810907</t>
  </si>
  <si>
    <t>3606810898</t>
  </si>
  <si>
    <t>8 BX</t>
  </si>
  <si>
    <t>CAIU5872986</t>
  </si>
  <si>
    <t>3606810139</t>
  </si>
  <si>
    <t>16 BX</t>
  </si>
  <si>
    <t>CAIU5873318</t>
  </si>
  <si>
    <t>3606810160</t>
  </si>
  <si>
    <t>WAL-MART APPLE VALLEY / 18004249300</t>
  </si>
  <si>
    <t>PGHU4507960</t>
  </si>
  <si>
    <t>3606810922</t>
  </si>
  <si>
    <t>21  C</t>
  </si>
  <si>
    <t>UN3092,1-METHOXY-2-PROPANOL, 3,III</t>
  </si>
  <si>
    <t>PGHU4505308</t>
  </si>
  <si>
    <t>3606810913</t>
  </si>
  <si>
    <t>13  C</t>
  </si>
  <si>
    <t>-4  C</t>
  </si>
  <si>
    <t xml:space="preserve">(HYPOCHLOROUS ACID SOLUTION &lt;1%)	</t>
  </si>
  <si>
    <t>CAIU5873410</t>
  </si>
  <si>
    <t>CAIU5874187</t>
  </si>
  <si>
    <t>3606811141</t>
  </si>
  <si>
    <t>AFF O'REILLY AUTO PARTS / 18004249300</t>
  </si>
  <si>
    <t>CAXU5821189</t>
  </si>
  <si>
    <t>UN1293,TINCTURES, MEDICINAL, 3,III</t>
  </si>
  <si>
    <t>30  C</t>
  </si>
  <si>
    <t>UN1987,ALCOHOLS, 3,III</t>
  </si>
  <si>
    <t>-18 C</t>
  </si>
  <si>
    <t>26  C</t>
  </si>
  <si>
    <t>CAIU5874546</t>
  </si>
  <si>
    <t>3606810934</t>
  </si>
  <si>
    <t>25  C</t>
  </si>
  <si>
    <t>WALMART APPLE VALLEY #7033 / 1-800-424-9300</t>
  </si>
  <si>
    <t>PGHU4506027</t>
  </si>
  <si>
    <t>3606810958</t>
  </si>
  <si>
    <t>9.7C</t>
  </si>
  <si>
    <t>3606810940</t>
  </si>
  <si>
    <t>23  C</t>
  </si>
  <si>
    <t>43  C</t>
  </si>
  <si>
    <t>17  C</t>
  </si>
  <si>
    <t>PGHU4509284</t>
  </si>
  <si>
    <t>3606810901</t>
  </si>
  <si>
    <t>PGHU4508729</t>
  </si>
  <si>
    <t>3606810904</t>
  </si>
  <si>
    <t>DRYU4575006</t>
  </si>
  <si>
    <t>3606810925</t>
  </si>
  <si>
    <t>CAXU5825163</t>
  </si>
  <si>
    <t>3606810952</t>
  </si>
  <si>
    <t>-18C</t>
  </si>
  <si>
    <t>DRYU4578983</t>
  </si>
  <si>
    <t>3606810967</t>
  </si>
  <si>
    <t>-45 C</t>
  </si>
  <si>
    <t>(ETHYL LACTATE)</t>
  </si>
  <si>
    <t>(ISODODECANE, ETHANOL)</t>
  </si>
  <si>
    <t>PGHU5101126</t>
  </si>
  <si>
    <t>3606810937</t>
  </si>
  <si>
    <t>PGHU5100963</t>
  </si>
  <si>
    <t>3606810961</t>
  </si>
  <si>
    <t>(ETHANOL ISODODECANE)</t>
  </si>
  <si>
    <t>CAIU5873848</t>
  </si>
  <si>
    <t>3606810970</t>
  </si>
  <si>
    <t>-16 C</t>
  </si>
  <si>
    <t>48  C</t>
  </si>
  <si>
    <t>PGHU4502762</t>
  </si>
  <si>
    <t>3606810931</t>
  </si>
  <si>
    <t>24  C</t>
  </si>
  <si>
    <t>30.5C</t>
  </si>
  <si>
    <t>(ETHANOL ETHANOLAMINE)</t>
  </si>
  <si>
    <t>42  C</t>
  </si>
  <si>
    <t>18.8C</t>
  </si>
  <si>
    <t>(POTASSIUM PERSULFATE AMMONIUM PERSULFATE)</t>
  </si>
  <si>
    <t>37  C</t>
  </si>
  <si>
    <t>(SODIUM HYDROXIDE ACETIC ACID MERCAPTO- MONOPOTASSIUM SALT)</t>
  </si>
  <si>
    <t>15  C</t>
  </si>
  <si>
    <t>(SOLVENT NAPHTHA (PETROLEUM), LIGHT AROM., NAPHTHA(PETROLEUM)HYDROTREATED HEAVY)</t>
  </si>
  <si>
    <t>(ETHYL ETHER, MENTHOL)</t>
  </si>
  <si>
    <t>19  C</t>
  </si>
  <si>
    <t>(SULFURIC ACID)</t>
  </si>
  <si>
    <t>-9C</t>
  </si>
  <si>
    <t>12.2C</t>
  </si>
  <si>
    <t>PGHU4502438</t>
  </si>
  <si>
    <t>3606810943</t>
  </si>
  <si>
    <t>(ACETIC ACID MERCAPTO- MONOPOTASSIUM SALT SODIUM HYDROXIDE)</t>
  </si>
  <si>
    <t>(CONTAINS ETHANOLAMINE)</t>
  </si>
  <si>
    <t>PGHU4013709</t>
  </si>
  <si>
    <t>3606811135</t>
  </si>
  <si>
    <t>3606811144</t>
  </si>
  <si>
    <t>UN3131,WATER-REACTIVE SOLID, CORROSIVE, N.O.S, 4.3(8),III</t>
  </si>
  <si>
    <t>(ORGANIC POLYSILAZNE COMPOUND)</t>
  </si>
  <si>
    <t>AFF O'RELLY AUTO PARTS / 1-888-464-2982</t>
  </si>
  <si>
    <t>PGHU4500482</t>
  </si>
  <si>
    <t>DRYU4576276</t>
  </si>
  <si>
    <t>3606811138</t>
  </si>
  <si>
    <t>33  C</t>
  </si>
  <si>
    <t>AFF / BUNZL/3E COMPANY / 18884642982</t>
  </si>
  <si>
    <t>CAXU5821281</t>
  </si>
  <si>
    <t>PGHU5100393</t>
  </si>
  <si>
    <t>AFF OREILLY AUTO PARTS / 1-888-464-2982</t>
  </si>
  <si>
    <t>PGHU4501133</t>
  </si>
  <si>
    <t>3606811147</t>
  </si>
  <si>
    <t>PGHU4510773</t>
  </si>
  <si>
    <t>3606811432</t>
  </si>
  <si>
    <t>PGHU5102565</t>
  </si>
  <si>
    <t>3606810949</t>
  </si>
  <si>
    <t>45  C</t>
  </si>
  <si>
    <t>50.7C</t>
  </si>
  <si>
    <t>(SOLVENT NAPHTHA (PETROLEUM), LIGHT AROM., NAPHTHA(PETROLEUM), HYDROTREATED HEAVY)</t>
  </si>
  <si>
    <t>PGHU5103026</t>
  </si>
  <si>
    <t>3606810895</t>
  </si>
  <si>
    <t>UN2810,TOXIC LIQUIDS, ORGANIC, N.O.S., 6.1,III</t>
  </si>
  <si>
    <t>(N-METHYLANILINE, METHYLCYCLOPENTADIENYL MANGANESETRICARBONYL)</t>
  </si>
  <si>
    <t>42.8C</t>
  </si>
  <si>
    <t>11.7C</t>
  </si>
  <si>
    <t>(PETROLEUM DISTILLATES, HYDROTREATED LIGHT, ISOPROPYL ALCOHOL)</t>
  </si>
  <si>
    <t>UN3178,FLAMMABLE SOLID, INORGANIC, N.O.S., 4.1,II</t>
  </si>
  <si>
    <t>(HIGHWAY FLARES OR FUSEES)</t>
  </si>
  <si>
    <t xml:space="preserve"> EX2002110114</t>
  </si>
  <si>
    <t>29  C</t>
  </si>
  <si>
    <t>1   C</t>
  </si>
  <si>
    <t>UN1479,OXIDIZING SOLID, N.O.S., 5.1,III</t>
  </si>
  <si>
    <t>(POTASSIUM PERSULFATE, AMMONIUM PERSULFATE)</t>
  </si>
  <si>
    <t>27  C</t>
  </si>
  <si>
    <t>-15 C</t>
  </si>
  <si>
    <t>HAWAIIAN OCEAN TRANSPORT / 18004249300</t>
  </si>
  <si>
    <t>TCNU5177632</t>
  </si>
  <si>
    <t>3606811297</t>
  </si>
  <si>
    <t>ODYSSEY/BALKAMP INC / 18004249300</t>
  </si>
  <si>
    <t>CAXU5822708</t>
  </si>
  <si>
    <t>3606811456</t>
  </si>
  <si>
    <t>UN2014,HYDROGEN, PEROXIDE, AQUEOUS SOLUTIONS, 5.1(8),II</t>
  </si>
  <si>
    <t>ODFL / STERIS CORP / 18004249300</t>
  </si>
  <si>
    <t>TIIU4434653</t>
  </si>
  <si>
    <t>3606810004</t>
  </si>
  <si>
    <t>ODYSSEY/CARDINAL HEALTH / 18004249300</t>
  </si>
  <si>
    <t>36 BX</t>
  </si>
  <si>
    <t>CRSU0400343</t>
  </si>
  <si>
    <t>12.7F</t>
  </si>
  <si>
    <t>-5  C</t>
  </si>
  <si>
    <t>AFF/OREILLYS / 18884642982</t>
  </si>
  <si>
    <t>PGHU4011413</t>
  </si>
  <si>
    <t>(BENZEN,1-CHLORO-4-(TRIFLUOROMETHYL))</t>
  </si>
  <si>
    <t>AFF /VWR INTERNATIONAL / 18004249300</t>
  </si>
  <si>
    <t>UN3267,CORROSIVE LIQUID, BASIC, ORGANIC, N.O.S., 8,III</t>
  </si>
  <si>
    <t>(SODIUM METASILICATE PENTAHYDRATE,SODIUM DODECYL)</t>
  </si>
  <si>
    <t>ODFL / CHEMTREC / 18004249300</t>
  </si>
  <si>
    <t>PGHU4021936</t>
  </si>
  <si>
    <t>CRSU0410315</t>
  </si>
  <si>
    <t>3606810148</t>
  </si>
  <si>
    <t>12  C</t>
  </si>
  <si>
    <t>(SODIUM HYDROXIDE, ACETIC ACID, MERCAPTO-, MONOPOTASSIUM SALT)</t>
  </si>
  <si>
    <t>-20 C</t>
  </si>
  <si>
    <t>UN1428,SODIUM, 4.3,I</t>
  </si>
  <si>
    <t>ODYSSEY/FLINN SCIENTIFIC / 18004249300</t>
  </si>
  <si>
    <t>PGHU4509129</t>
  </si>
  <si>
    <t>14  C</t>
  </si>
  <si>
    <t>22  C</t>
  </si>
  <si>
    <t>4   C</t>
  </si>
  <si>
    <t>DRYU4576342</t>
  </si>
  <si>
    <t>(CONTAINS ETHYL THIOCYANATE)</t>
  </si>
  <si>
    <t>ODYSSEY/ARC WAREHOUSE WEST / 18004249300</t>
  </si>
  <si>
    <t>PGHU4021284</t>
  </si>
  <si>
    <t>3606811462</t>
  </si>
  <si>
    <t>54 BX</t>
  </si>
  <si>
    <t>CXDU2110121</t>
  </si>
  <si>
    <t>3606810157</t>
  </si>
  <si>
    <t>28  C</t>
  </si>
  <si>
    <t>UN1814,POTASSIUM HYDROXIDE, SOLUTION, 8,II</t>
  </si>
  <si>
    <t>DRYU4574632</t>
  </si>
  <si>
    <t>(FATTY AMIDOAMINES)</t>
  </si>
  <si>
    <t>(HYDRFLORIC ACID, PHOSPHORIC ACID)</t>
  </si>
  <si>
    <t>(BENZE,1-CHLORO-4-(TRIFLUOROMETHYL))</t>
  </si>
  <si>
    <t>(BENZE, 1-CHLORO-4-(TRIFLUOROMETHYL))</t>
  </si>
  <si>
    <t>PGHU4022228</t>
  </si>
  <si>
    <t>PGHU5103140</t>
  </si>
  <si>
    <t>3606811426</t>
  </si>
  <si>
    <t xml:space="preserve"> DOT-SP10232</t>
  </si>
  <si>
    <t>AFF O'REILLY AUTO PARTS / 180042493000</t>
  </si>
  <si>
    <t>50 CN</t>
  </si>
  <si>
    <t>(CONTAINS METHANOL, ETHANOL)</t>
  </si>
  <si>
    <t>(2,4-IMIDAZOLIDINEDIONE, 1,3-DICHLORO-5,5-DIMETHYL-)</t>
  </si>
  <si>
    <t>PGHU4011286</t>
  </si>
  <si>
    <t>57  C</t>
  </si>
  <si>
    <t>(BENZOYL PEROXIDE,30-60%)</t>
  </si>
  <si>
    <t>2 CS</t>
  </si>
  <si>
    <t>THE PROCTOR  &amp; GAMBLE DISTRIBU / 1-800-424-9300</t>
  </si>
  <si>
    <t>TIIU4214915</t>
  </si>
  <si>
    <t>3606810667</t>
  </si>
  <si>
    <t>(ISOPROPYL ALCOHOL, ACETIC ACID)</t>
  </si>
  <si>
    <t>56.1C</t>
  </si>
  <si>
    <t>58CC</t>
  </si>
  <si>
    <t>TCNU4355719</t>
  </si>
  <si>
    <t>UN2257,POTASSIUM, 4.3,I</t>
  </si>
  <si>
    <t>NFI SPECTRUM BRANDS / 18003603220</t>
  </si>
  <si>
    <t>PGHU4018824</t>
  </si>
  <si>
    <t>3606811021</t>
  </si>
  <si>
    <t>UN3267,CORROSIVE LIQUID, BASIC, ORGANIC, N.O.S., 8,II</t>
  </si>
  <si>
    <t>((BIS(3-AMINOPROPYL))ETHER OF DUETHYLENE GLYCOL,BIS((DIMETHYLAMINO)METHYL)PHENOL)</t>
  </si>
  <si>
    <t>((BIS93-AMINOPROPYL))ETHER OF DIETHYLENE GLYCOL,BIS((DIMETHYLAMINO)METYHYL) PHENOL)</t>
  </si>
  <si>
    <t>13.8C</t>
  </si>
  <si>
    <t>DRYU4578052</t>
  </si>
  <si>
    <t>3606811468</t>
  </si>
  <si>
    <t>PGHU4506109</t>
  </si>
  <si>
    <t>(SODIUM HYDROXIDE, SODIUM HYPOCHLORITE)</t>
  </si>
  <si>
    <t>ODYSSEY/3M DISTRIBUTION CENTER / 18004249300</t>
  </si>
  <si>
    <t>(BIS(3-AMINOPROPYL)ETHER OR DIETHYLENE GLYCOL,BISDIMETHYLAMINEO)METHYL)PHENOL)</t>
  </si>
  <si>
    <t>(BIS(3-AMINOPROPYL)ETHEROF DIETHYLENE GLYCOL,METHYLENEDI(CYCLOHEXYLAMINE)</t>
  </si>
  <si>
    <t xml:space="preserve"> DOT-SP14188</t>
  </si>
  <si>
    <t>UN3265,CORROSIVE LIQUID, ACIDIC, ORGANIC, N.O.S., 8,II</t>
  </si>
  <si>
    <t>(METHANESULPHONIC ACID)</t>
  </si>
  <si>
    <t>(CONTAINS 2-METHYL-1,3-DIOXOLANE)</t>
  </si>
  <si>
    <t>(ISOPROPYL ALOCHOL, ACETIC ACID)</t>
  </si>
  <si>
    <t>(CONTAINS 4-CYANOBENZOYL CHLORIDE)</t>
  </si>
  <si>
    <t>(CONTAINS 2-METHYL-1 3-DIOXOLANE)</t>
  </si>
  <si>
    <t>SAMS DC ONTARIO / 1-800-424-9300</t>
  </si>
  <si>
    <t>DRYU4575515</t>
  </si>
  <si>
    <t>3606811393</t>
  </si>
  <si>
    <t>OTPU6348627</t>
  </si>
  <si>
    <t>3606812011</t>
  </si>
  <si>
    <t>AFF / TOOL MASTER / 18004249300</t>
  </si>
  <si>
    <t>PGHU5100475</t>
  </si>
  <si>
    <t>3606811390</t>
  </si>
  <si>
    <t>1 CR</t>
  </si>
  <si>
    <t>RHE/ADS INC / 18004249300</t>
  </si>
  <si>
    <t>DRYU4576785</t>
  </si>
  <si>
    <t>40 CY</t>
  </si>
  <si>
    <t>ODYSSEY/SOLSTICE ADVANCED / 18004249300</t>
  </si>
  <si>
    <t>PGHU5103068</t>
  </si>
  <si>
    <t>(SODIUM HYPOCHLORITE,SODIUM HYDROXIDE)</t>
  </si>
  <si>
    <t>AFF VWR INTERNATIONAL / 18004249300</t>
  </si>
  <si>
    <t>AFF/ HIGHLINE WARREN / 18004249300</t>
  </si>
  <si>
    <t>UN1307,XYLENES, 3,III</t>
  </si>
  <si>
    <t>CAAU4118500</t>
  </si>
  <si>
    <t>3606812014</t>
  </si>
  <si>
    <t>DRYU4578556</t>
  </si>
  <si>
    <t>3606812029</t>
  </si>
  <si>
    <t>(NITRIC OXIDE, NITROGEN)</t>
  </si>
  <si>
    <t>ESTES /VERO BIO / 1-800-424-9300</t>
  </si>
  <si>
    <t>ESTU4501154</t>
  </si>
  <si>
    <t>3606810274</t>
  </si>
  <si>
    <t>ESTES / MILWAUKEE TOOL / 1-800-424-9300</t>
  </si>
  <si>
    <t>ODFL ENERSYS DELAWARE INC / 1-800-424-9300</t>
  </si>
  <si>
    <t>FWRU0094393</t>
  </si>
  <si>
    <t>3606812107</t>
  </si>
  <si>
    <t>FEDEX FREIGHT/GRAINGER GENERIC / 18004249300</t>
  </si>
  <si>
    <t>PGHU4010850</t>
  </si>
  <si>
    <t>3606810481</t>
  </si>
  <si>
    <t>UN2735,AMINES, LIQUID, CORROSIVE, N.O.S., 8,III</t>
  </si>
  <si>
    <t>(M-PHNYLENEBIS, METHLAMINE)</t>
  </si>
  <si>
    <t>FEDEX FREIGHT /CONSTRUCTION / 18004249300</t>
  </si>
  <si>
    <t>(EPOXY RESIN)</t>
  </si>
  <si>
    <t>FEDEX FREIGHT / CONSTRUCTION / 18004249300</t>
  </si>
  <si>
    <t>FEDEX FREIGHT /MERCEDES BENZ / 18004249300</t>
  </si>
  <si>
    <t>UN1719,CAUSTIC ALKALI LIQUIDS, N.O.S., 8,II</t>
  </si>
  <si>
    <t>FEDEX FREIGHT/ HEIDELBERG / 18004249300</t>
  </si>
  <si>
    <t>PGHU4013437</t>
  </si>
  <si>
    <t>(SODIUM HYDROXIDE, POTASSIUMS HYDROXIDE)</t>
  </si>
  <si>
    <t>FEDEX FREIGHT/ NALCO COMPANY / 18004249300</t>
  </si>
  <si>
    <t>2C</t>
  </si>
  <si>
    <t>THE PROCTER &amp; GAMBLE DISTRIBUT / 1-800-424-9300</t>
  </si>
  <si>
    <t>BMOU4439040</t>
  </si>
  <si>
    <t>3606810664</t>
  </si>
  <si>
    <t>UN3066,PAINT RELATED MATERIAL, 8,II</t>
  </si>
  <si>
    <t>FEDEX FREIGHT/ CONSUMER GROUP / 18004249300</t>
  </si>
  <si>
    <t>NFI HOMAX / 18003603220</t>
  </si>
  <si>
    <t>39  C</t>
  </si>
  <si>
    <t>FEDEX FREIGHT/ PORSCHE CARS NO / 18004249300</t>
  </si>
  <si>
    <t>FEDEX FREIGHT/ MERCEDES / 18004249300</t>
  </si>
  <si>
    <t>47 CN</t>
  </si>
  <si>
    <t>UN1193,ETHYL METHYL KETONE, 3,II</t>
  </si>
  <si>
    <t>(SODIUM HYDROXIDE SODIUM HYPOCHLORITE)</t>
  </si>
  <si>
    <t>-10 C</t>
  </si>
  <si>
    <t>(CONTAINS HYDROXYLAMINE)</t>
  </si>
  <si>
    <t>15 BX</t>
  </si>
  <si>
    <t>NFI IPS CORP / 18003603220</t>
  </si>
  <si>
    <t>(ACETAMIPRID)</t>
  </si>
  <si>
    <t>126 CS</t>
  </si>
  <si>
    <t>BENNETT WEST, LLC/CHEMTREC / 18004249300</t>
  </si>
  <si>
    <t>PGHU4017561</t>
  </si>
  <si>
    <t>3606810871</t>
  </si>
  <si>
    <t>(HALOSULFURON-METHYL)</t>
  </si>
  <si>
    <t>7 CS</t>
  </si>
  <si>
    <t>(ALKYL PHENOL ETHOXYLATE)</t>
  </si>
  <si>
    <t>(AZOXYSTROBIN)</t>
  </si>
  <si>
    <t>180 CS</t>
  </si>
  <si>
    <t>(PROPICONAZOLE)</t>
  </si>
  <si>
    <t>(CONTAINS PYRACLOSTROBIN,FLUXAPYROXAD)</t>
  </si>
  <si>
    <t>NFI CLEAN CONTROL CORP / 18003603220</t>
  </si>
  <si>
    <t>NFI ECOLAB / 18003603220</t>
  </si>
  <si>
    <t>(SYMCLOSENE)</t>
  </si>
  <si>
    <t>(SODIUM HYDROXIDE MONOETHANOLAMINE)</t>
  </si>
  <si>
    <t>THE DELIVERY PEOPLE / 17035273887</t>
  </si>
  <si>
    <t>PGHU4024426</t>
  </si>
  <si>
    <t>3606812038</t>
  </si>
  <si>
    <t>AFF O'RELLY AUTO PARTS / 1-800-424-9300</t>
  </si>
  <si>
    <t>THE PROCTOR AND GAMBLE / 18004249300</t>
  </si>
  <si>
    <t>PGHU4026199</t>
  </si>
  <si>
    <t>3606810646</t>
  </si>
  <si>
    <t>UN1268,PETROLEUM DISTILLATES, N.O.S., 3,II</t>
  </si>
  <si>
    <t>ODYSSEY/SERVICE CAMP / 18004249300</t>
  </si>
  <si>
    <t>26.5C</t>
  </si>
  <si>
    <t>28 BX</t>
  </si>
  <si>
    <t>(HEPTANES, ISOPOPYL)</t>
  </si>
  <si>
    <t>0   C</t>
  </si>
  <si>
    <t>ESTES CRC INDUSTRIES INC / 1-800-424-9300</t>
  </si>
  <si>
    <t>PGHU4507933</t>
  </si>
  <si>
    <t>ODYSSEY/MOTORCAR PARTS / 18004249300</t>
  </si>
  <si>
    <t>(QUATERNARY AMMONIUM COMPOND)</t>
  </si>
  <si>
    <t>5 CS</t>
  </si>
  <si>
    <t>PGHU4507445</t>
  </si>
  <si>
    <t>32 CS</t>
  </si>
  <si>
    <t>TCNU6168949</t>
  </si>
  <si>
    <t>3606810643</t>
  </si>
  <si>
    <t>104 CS</t>
  </si>
  <si>
    <t>CAAU4120446</t>
  </si>
  <si>
    <t>3606811825</t>
  </si>
  <si>
    <t>192 BX</t>
  </si>
  <si>
    <t>PGHU4501046</t>
  </si>
  <si>
    <t>PGHU4508117</t>
  </si>
  <si>
    <t>CAXU5822544</t>
  </si>
  <si>
    <t>33 CS</t>
  </si>
  <si>
    <t>200 CS</t>
  </si>
  <si>
    <t>CAIU5871130</t>
  </si>
  <si>
    <t>PGHU4510140</t>
  </si>
  <si>
    <t>3606810151</t>
  </si>
  <si>
    <t>47 CS</t>
  </si>
  <si>
    <t>41 CN</t>
  </si>
  <si>
    <t>NFI HENKEL / 18003603220</t>
  </si>
  <si>
    <t>PGHU4024811</t>
  </si>
  <si>
    <t>3606810649</t>
  </si>
  <si>
    <t>27CC</t>
  </si>
  <si>
    <t>384 BX</t>
  </si>
  <si>
    <t>PGHU4505720</t>
  </si>
  <si>
    <t>PGHU5103242</t>
  </si>
  <si>
    <t>DRYU4574397</t>
  </si>
  <si>
    <t>DRYU4577992</t>
  </si>
  <si>
    <t>576 BX</t>
  </si>
  <si>
    <t>PGHU4505740</t>
  </si>
  <si>
    <t>178 CS</t>
  </si>
  <si>
    <t>432 CN</t>
  </si>
  <si>
    <t>DRYU4578366</t>
  </si>
  <si>
    <t>UN2796,BATTERY FLUID, ACID, 8,II</t>
  </si>
  <si>
    <t>197 CN</t>
  </si>
  <si>
    <t>AFF / EAST PENN / 18884642982</t>
  </si>
  <si>
    <t>PGHU4502145</t>
  </si>
  <si>
    <t>144 CN</t>
  </si>
  <si>
    <t>OTPU6353840</t>
  </si>
  <si>
    <t>3606810172</t>
  </si>
  <si>
    <t>CAAU4119804</t>
  </si>
  <si>
    <t>3606810175</t>
  </si>
  <si>
    <t>CAAU4119830</t>
  </si>
  <si>
    <t>3606810190</t>
  </si>
  <si>
    <t>191 CS</t>
  </si>
  <si>
    <t>PGHU4504364</t>
  </si>
  <si>
    <t>PGHU4503075</t>
  </si>
  <si>
    <t xml:space="preserve">(HYDROCHLORIC  ACID,HYDROXYETHYL ALKAMINE) 	</t>
  </si>
  <si>
    <t>264 BX</t>
  </si>
  <si>
    <t>CAIU5869719</t>
  </si>
  <si>
    <t>934 CN</t>
  </si>
  <si>
    <t>AFF/ EAST PENN / 703-527-3887</t>
  </si>
  <si>
    <t>915 CN</t>
  </si>
  <si>
    <t>AFF / EAST PENN / 17035273887</t>
  </si>
  <si>
    <t>AFF OREILLY AUTO PARTS / 1-800-424-9300</t>
  </si>
  <si>
    <t>AFF /TESLA/ 3E COMPANY / 18884642982</t>
  </si>
  <si>
    <t>PGHU4501730</t>
  </si>
  <si>
    <t>124 CN</t>
  </si>
  <si>
    <t>AFF/ BATTERY BILLS / 18004249300</t>
  </si>
  <si>
    <t>78 BX</t>
  </si>
  <si>
    <t>PGHU4502320</t>
  </si>
  <si>
    <t>58 BX</t>
  </si>
  <si>
    <t>PGHU4503244</t>
  </si>
  <si>
    <t>40 CS</t>
  </si>
  <si>
    <t>SAMS DC ONTARIO / 18004249300</t>
  </si>
  <si>
    <t>PGHU4503835</t>
  </si>
  <si>
    <t>PGHU4504301</t>
  </si>
  <si>
    <t>PGHU4504322</t>
  </si>
  <si>
    <t>PGHU4504493</t>
  </si>
  <si>
    <t>PGHU4505519</t>
  </si>
  <si>
    <t>4 CS</t>
  </si>
  <si>
    <t>ODYSSEY/TRACY ENERGY HUB / 18004249300</t>
  </si>
  <si>
    <t>(UREA SYULFATE)</t>
  </si>
  <si>
    <t>UN1992,FLAMMABLE LIQUIDS, TOXIC, N.O.S., 3(6.1),II</t>
  </si>
  <si>
    <t>(ACETANE, HEPTANE)</t>
  </si>
  <si>
    <t>(ACETONE, HEPTANE)</t>
  </si>
  <si>
    <t>3 DR</t>
  </si>
  <si>
    <t>ESTES VINTAGE ELECTRIC BIKES / 1-866-519-4752</t>
  </si>
  <si>
    <t>(HYPOCHLOROUS ACID SOLUTION &lt;1%)</t>
  </si>
  <si>
    <t>(2 3 3 3-TETRAFLUOPRO-1-ENE)</t>
  </si>
  <si>
    <t>NAPA DISTRIBUTION CENTER LA / 18004249300</t>
  </si>
  <si>
    <t>PGHU4508210</t>
  </si>
  <si>
    <t>3606811945</t>
  </si>
  <si>
    <t>ODYSSEY/CHEMTREAT INC / 18004249300</t>
  </si>
  <si>
    <t>UN2734,AMINE, LIQUID, CORROSIVE, FLAMMABLE, N.O.S., 8(3),II</t>
  </si>
  <si>
    <t>(CONTAINS CYCLOHEXANEMETHYLAMINE)</t>
  </si>
  <si>
    <t>PGHU4509622</t>
  </si>
  <si>
    <t>56 BX</t>
  </si>
  <si>
    <t>PGHU4510794</t>
  </si>
  <si>
    <t>PGHU5100726</t>
  </si>
  <si>
    <t>24 BX</t>
  </si>
  <si>
    <t>PGHU5102729</t>
  </si>
  <si>
    <t>29 BX</t>
  </si>
  <si>
    <t>FERGUSON ENTERPRISES / 18669519830</t>
  </si>
  <si>
    <t>TCNU5817679</t>
  </si>
  <si>
    <t>3606812005</t>
  </si>
  <si>
    <t>16 TO</t>
  </si>
  <si>
    <t>JANEL GROUP SOLERA SOURCE DYNA / 1-703-527-3887</t>
  </si>
  <si>
    <t>TCNU7001637</t>
  </si>
  <si>
    <t>3810512329</t>
  </si>
  <si>
    <t>H2O LOGISTICS/KAHULUI WWTP / 18005355053</t>
  </si>
  <si>
    <t>TIIU4433908</t>
  </si>
  <si>
    <t>3606812131</t>
  </si>
  <si>
    <t>H2O LOGISTICS/ MALAMA SOLUTION / 18005355053</t>
  </si>
  <si>
    <t>FEDEX FREIGHT/PORSCHE CARS NOR / 18004249300</t>
  </si>
  <si>
    <t>TIIU4434627</t>
  </si>
  <si>
    <t>068W</t>
  </si>
  <si>
    <t>GEORGE II</t>
  </si>
  <si>
    <t>LGB</t>
  </si>
  <si>
    <t>020082</t>
  </si>
  <si>
    <t>020084</t>
  </si>
  <si>
    <t>020784</t>
  </si>
  <si>
    <t>060010</t>
  </si>
  <si>
    <t>060210</t>
  </si>
  <si>
    <t>060212</t>
  </si>
  <si>
    <t>060286</t>
  </si>
  <si>
    <t>060504</t>
  </si>
  <si>
    <t>060510</t>
  </si>
  <si>
    <t>060602</t>
  </si>
  <si>
    <t>060604</t>
  </si>
  <si>
    <t>060606</t>
  </si>
  <si>
    <t>060608</t>
  </si>
  <si>
    <t>060610</t>
  </si>
  <si>
    <t>060782</t>
  </si>
  <si>
    <t>060884</t>
  </si>
  <si>
    <t>060982</t>
  </si>
  <si>
    <t>061082</t>
  </si>
  <si>
    <t>061084</t>
  </si>
  <si>
    <t>061284</t>
  </si>
  <si>
    <t>UN2037,RECEPTACLES, SMALL, CONTAINING GAS, 2.2,</t>
  </si>
  <si>
    <t>UN2037,RECEPTACLES, SMALL, CONTAINING GAS, 2.2(5.1),</t>
  </si>
  <si>
    <t>43   C</t>
  </si>
  <si>
    <t>40  C</t>
  </si>
  <si>
    <t>(CONTAINS GLUFOSINATE AMMONIUM)</t>
  </si>
  <si>
    <t>UN1170,ETHANOL SOLUTIONS,3,II</t>
  </si>
  <si>
    <t>117 BX</t>
  </si>
  <si>
    <t>H20 PAC RIM MEDICAL / 1-800-424-9300</t>
  </si>
  <si>
    <t>UN1648,ACETONITRILE, 3,II</t>
  </si>
  <si>
    <t>ABF SIGMA-ALRICH INC / 1-800-424-9300</t>
  </si>
  <si>
    <t>PGHU4018151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</si>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</sst>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6" fillId="0" borderId="0" xfId="0" applyFont="1"/>
    <xf numFmtId="0" fontId="5" fillId="0" borderId="3" xfId="1" applyFont="1" applyBorder="1" applyAlignment="1" applyProtection="1">
      <alignment horizontal="left" vertical="top" wrapText="1" readingOrder="1"/>
      <protection locked="0"/>
    </xf>
    <xf numFmtId="0" fontId="4" fillId="0" borderId="0" xfId="1" applyFont="1"/>
    <xf numFmtId="0" fontId="4" fillId="0" borderId="2" xfId="1" applyFont="1" applyBorder="1" applyAlignment="1" applyProtection="1">
      <alignment vertical="top" wrapText="1"/>
      <protection locked="0"/>
    </xf>
    <xf numFmtId="0" fontId="7" fillId="0" borderId="3" xfId="1" applyFont="1" applyBorder="1" applyAlignment="1" applyProtection="1">
      <alignment horizontal="left" vertical="top" wrapText="1" readingOrder="1"/>
      <protection locked="0"/>
    </xf>
    <xf numFmtId="0" fontId="3" fillId="0" borderId="0" xfId="1" applyFont="1"/>
    <xf numFmtId="0" fontId="3" fillId="0" borderId="2" xfId="1" applyFont="1" applyBorder="1" applyAlignment="1" applyProtection="1">
      <alignment vertical="top" wrapText="1"/>
      <protection locked="0"/>
    </xf>
    <xf numFmtId="0" fontId="6" fillId="0" borderId="3" xfId="0" applyFont="1" applyBorder="1"/>
    <xf numFmtId="0" fontId="5" fillId="0" borderId="0" xfId="1" applyFont="1" applyAlignment="1" applyProtection="1">
      <alignment horizontal="left" vertical="top" wrapText="1" readingOrder="1"/>
      <protection locked="0"/>
    </xf>
    <xf numFmtId="0" fontId="7" fillId="0" borderId="0" xfId="1" applyFont="1" applyAlignment="1" applyProtection="1">
      <alignment horizontal="left" vertical="top" wrapText="1" readingOrder="1"/>
      <protection locked="0"/>
    </xf>
    <xf numFmtId="0" fontId="1" fillId="0" borderId="0" xfId="0" applyFont="1" applyAlignment="1">
      <alignment wrapText="1"/>
    </xf>
    <xf numFmtId="14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>
      <alignment horizontal="left" wrapText="1" shrinkToFit="1"/>
    </xf>
    <xf numFmtId="0" fontId="8" fillId="0" borderId="0" xfId="0" applyFont="1" applyAlignment="1">
      <alignment wrapText="1" shrinkToFit="1"/>
    </xf>
    <xf numFmtId="0" fontId="9" fillId="0" borderId="1" xfId="0" applyFont="1" applyBorder="1" applyAlignment="1" applyProtection="1">
      <alignment horizontal="left" vertical="top" wrapText="1" shrinkToFit="1"/>
      <protection locked="0"/>
    </xf>
    <xf numFmtId="0" fontId="9" fillId="0" borderId="4" xfId="0" applyFont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14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0" fillId="2" borderId="0" xfId="0" applyFill="1" applyAlignment="1" applyProtection="1">
      <alignment horizontal="right"/>
      <protection locked="0"/>
    </xf>
    <xf numFmtId="22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workbookViewId="0">
      <selection activeCell="N6" sqref="N6:O6"/>
    </sheetView>
  </sheetViews>
  <sheetFormatPr defaultRowHeight="15" x14ac:dyDescent="0.25"/>
  <cols>
    <col min="1" max="1" width="11.42578125" customWidth="1"/>
  </cols>
  <sheetData>
    <row r="1" spans="1:15" x14ac:dyDescent="0.25">
      <c r="A1" s="3"/>
      <c r="B1" s="38"/>
      <c r="C1" s="3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0" t="s">
        <v>51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A3" s="40" t="s">
        <v>337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x14ac:dyDescent="0.25">
      <c r="A4" s="1" t="s">
        <v>54</v>
      </c>
      <c r="B4" s="2"/>
      <c r="C4" s="43" t="s">
        <v>96</v>
      </c>
      <c r="D4" s="43"/>
      <c r="E4" s="43"/>
      <c r="F4" s="44" t="s">
        <v>55</v>
      </c>
      <c r="G4" s="44"/>
      <c r="H4" s="45" t="s">
        <v>346</v>
      </c>
      <c r="I4" s="45"/>
      <c r="J4" s="3"/>
      <c r="K4" s="3"/>
      <c r="L4" s="37" t="s">
        <v>60</v>
      </c>
      <c r="M4" s="37"/>
      <c r="N4" s="45" t="s">
        <v>650</v>
      </c>
      <c r="O4" s="45"/>
    </row>
    <row r="5" spans="1:15" x14ac:dyDescent="0.25">
      <c r="A5" s="1" t="s">
        <v>52</v>
      </c>
      <c r="B5" s="1"/>
      <c r="C5" s="41">
        <v>46252</v>
      </c>
      <c r="D5" s="41"/>
      <c r="E5" s="41"/>
      <c r="F5" s="44" t="s">
        <v>56</v>
      </c>
      <c r="G5" s="44"/>
      <c r="H5" s="45" t="s">
        <v>338</v>
      </c>
      <c r="I5" s="45"/>
      <c r="J5" s="3"/>
      <c r="K5" s="3"/>
      <c r="L5" s="37" t="s">
        <v>58</v>
      </c>
      <c r="M5" s="37"/>
      <c r="N5" s="45">
        <v>1289010</v>
      </c>
      <c r="O5" s="45"/>
    </row>
    <row r="6" spans="1:15" x14ac:dyDescent="0.25">
      <c r="A6" s="1" t="s">
        <v>53</v>
      </c>
      <c r="B6" s="1"/>
      <c r="C6" s="42" t="s">
        <v>649</v>
      </c>
      <c r="D6" s="42"/>
      <c r="E6" s="42"/>
      <c r="F6" s="44" t="s">
        <v>57</v>
      </c>
      <c r="G6" s="44"/>
      <c r="H6" s="45" t="s">
        <v>343</v>
      </c>
      <c r="I6" s="45"/>
      <c r="J6" s="3"/>
      <c r="K6" s="3"/>
      <c r="L6" s="37" t="s">
        <v>59</v>
      </c>
      <c r="M6" s="37"/>
      <c r="N6" s="45" t="s">
        <v>651</v>
      </c>
      <c r="O6" s="45"/>
    </row>
    <row r="7" spans="1:15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15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1:15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</row>
    <row r="10" spans="1:15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5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1:15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5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1:15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1:15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1:15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</row>
    <row r="23" spans="1:15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1:15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spans="1:15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1:15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1:15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5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5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1:1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1:1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</row>
    <row r="35" spans="1:1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1:1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</row>
  </sheetData>
  <mergeCells count="48">
    <mergeCell ref="A35:O35"/>
    <mergeCell ref="A36:O36"/>
    <mergeCell ref="A30:O30"/>
    <mergeCell ref="A31:O31"/>
    <mergeCell ref="A32:O32"/>
    <mergeCell ref="A33:O33"/>
    <mergeCell ref="A34:O34"/>
    <mergeCell ref="A25:O25"/>
    <mergeCell ref="A26:O26"/>
    <mergeCell ref="A27:O27"/>
    <mergeCell ref="A28:O28"/>
    <mergeCell ref="A29:O29"/>
    <mergeCell ref="A20:O20"/>
    <mergeCell ref="A21:O21"/>
    <mergeCell ref="A22:O22"/>
    <mergeCell ref="A23:O23"/>
    <mergeCell ref="A24:O24"/>
    <mergeCell ref="A15:O15"/>
    <mergeCell ref="A16:O16"/>
    <mergeCell ref="A17:O17"/>
    <mergeCell ref="A18:O18"/>
    <mergeCell ref="A19:O19"/>
    <mergeCell ref="A10:O10"/>
    <mergeCell ref="A11:O11"/>
    <mergeCell ref="A12:O12"/>
    <mergeCell ref="A13:O13"/>
    <mergeCell ref="A14:O14"/>
    <mergeCell ref="F5:G5"/>
    <mergeCell ref="A7:O7"/>
    <mergeCell ref="A8:O8"/>
    <mergeCell ref="A9:O9"/>
    <mergeCell ref="F6:G6"/>
    <mergeCell ref="L4:M4"/>
    <mergeCell ref="L5:M5"/>
    <mergeCell ref="B1:C1"/>
    <mergeCell ref="L6:M6"/>
    <mergeCell ref="A2:O2"/>
    <mergeCell ref="A3:O3"/>
    <mergeCell ref="C5:E5"/>
    <mergeCell ref="C6:E6"/>
    <mergeCell ref="C4:E4"/>
    <mergeCell ref="F4:G4"/>
    <mergeCell ref="N4:O4"/>
    <mergeCell ref="N5:O5"/>
    <mergeCell ref="N6:O6"/>
    <mergeCell ref="H4:I4"/>
    <mergeCell ref="H5:I5"/>
    <mergeCell ref="H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373"/>
  <sheetViews>
    <sheetView tabSelected="1" topLeftCell="C1" zoomScaleNormal="100" workbookViewId="0">
      <pane ySplit="7" topLeftCell="A670" activePane="bottomLeft" state="frozen"/>
      <selection pane="bottomLeft" activeCell="D694" sqref="D694"/>
    </sheetView>
  </sheetViews>
  <sheetFormatPr defaultColWidth="9.140625" defaultRowHeight="15" x14ac:dyDescent="0.25"/>
  <cols>
    <col min="1" max="1" width="73.28515625" style="18" bestFit="1" customWidth="1"/>
    <col min="2" max="2" width="59.42578125" style="28" customWidth="1"/>
    <col min="3" max="3" width="8.5703125" style="18" customWidth="1"/>
    <col min="4" max="4" width="12.7109375" style="22" customWidth="1"/>
    <col min="5" max="5" width="10.140625" style="22" customWidth="1"/>
    <col min="6" max="6" width="8.42578125" style="18" bestFit="1" customWidth="1"/>
    <col min="7" max="8" width="10.7109375" style="18" customWidth="1"/>
    <col min="9" max="9" width="38.5703125" style="18" customWidth="1"/>
    <col min="10" max="10" width="9.140625" style="18"/>
    <col min="11" max="11" width="15.85546875" style="18" customWidth="1"/>
    <col min="12" max="12" width="14.5703125" style="18" customWidth="1"/>
    <col min="13" max="13" width="19.42578125" style="18" bestFit="1" customWidth="1"/>
    <col min="14" max="16384" width="9.140625" style="18"/>
  </cols>
  <sheetData>
    <row r="1" spans="1:13" x14ac:dyDescent="0.25">
      <c r="A1" s="16">
        <f ca="1">NOW()</f>
        <v>46253.503142824076</v>
      </c>
      <c r="B1" s="27"/>
      <c r="C1" s="17"/>
      <c r="D1" s="21"/>
      <c r="E1" s="21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35" t="str">
        <f>'DCM Header'!A2:O2</f>
        <v>COMPANY NAME: PASHA HAWAII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25">
      <c r="A3" s="35" t="str">
        <f>'DCM Header'!A3:O3</f>
        <v>4040 Civic Center Drive - Suite 350 - San Rafael, CA 94903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x14ac:dyDescent="0.25">
      <c r="A4" s="19" t="s">
        <v>54</v>
      </c>
      <c r="B4" s="32" t="s">
        <v>96</v>
      </c>
      <c r="C4" s="32"/>
      <c r="D4" s="32"/>
      <c r="E4" s="32"/>
      <c r="F4" s="32"/>
      <c r="G4" s="32" t="s">
        <v>341</v>
      </c>
      <c r="H4" s="32"/>
      <c r="I4" s="20" t="s">
        <v>1088</v>
      </c>
      <c r="J4" s="33" t="s">
        <v>60</v>
      </c>
      <c r="K4" s="33"/>
      <c r="L4" s="32" t="s">
        <v>1086</v>
      </c>
      <c r="M4" s="32"/>
    </row>
    <row r="5" spans="1:13" x14ac:dyDescent="0.25">
      <c r="A5" s="19" t="s">
        <v>52</v>
      </c>
      <c r="B5" s="34">
        <v>46252</v>
      </c>
      <c r="C5" s="35"/>
      <c r="D5" s="35"/>
      <c r="E5" s="35"/>
      <c r="F5" s="35"/>
      <c r="G5" s="32" t="s">
        <v>5</v>
      </c>
      <c r="H5" s="32"/>
      <c r="I5" s="20" t="str">
        <f>'DCM Header'!H5</f>
        <v>HNL</v>
      </c>
      <c r="J5" s="33" t="s">
        <v>58</v>
      </c>
      <c r="K5" s="33"/>
      <c r="L5" s="36">
        <v>1289010</v>
      </c>
      <c r="M5" s="36"/>
    </row>
    <row r="6" spans="1:13" x14ac:dyDescent="0.25">
      <c r="A6" s="19" t="s">
        <v>648</v>
      </c>
      <c r="B6" s="32" t="s">
        <v>649</v>
      </c>
      <c r="C6" s="32"/>
      <c r="D6" s="32"/>
      <c r="E6" s="32"/>
      <c r="F6" s="32"/>
      <c r="G6" s="32" t="s">
        <v>342</v>
      </c>
      <c r="H6" s="32"/>
      <c r="I6" s="20" t="str">
        <f>'DCM Header'!H6</f>
        <v>NULL</v>
      </c>
      <c r="J6" s="33" t="s">
        <v>59</v>
      </c>
      <c r="K6" s="33"/>
      <c r="L6" s="32" t="s">
        <v>1087</v>
      </c>
      <c r="M6" s="32"/>
    </row>
    <row r="7" spans="1:13" s="26" customFormat="1" ht="28.5" x14ac:dyDescent="0.25">
      <c r="A7" s="24" t="s">
        <v>0</v>
      </c>
      <c r="B7" s="25" t="s">
        <v>186</v>
      </c>
      <c r="C7" s="25" t="s">
        <v>339</v>
      </c>
      <c r="D7" s="23" t="s">
        <v>345</v>
      </c>
      <c r="E7" s="23" t="s">
        <v>340</v>
      </c>
      <c r="F7" s="25" t="s">
        <v>344</v>
      </c>
      <c r="G7" s="25" t="s">
        <v>336</v>
      </c>
      <c r="H7" s="25" t="s">
        <v>1</v>
      </c>
      <c r="I7" s="24" t="s">
        <v>2</v>
      </c>
      <c r="J7" s="25" t="s">
        <v>6</v>
      </c>
      <c r="K7" s="25" t="s">
        <v>3</v>
      </c>
      <c r="L7" s="25" t="s">
        <v>4</v>
      </c>
      <c r="M7" s="25" t="s">
        <v>5</v>
      </c>
    </row>
    <row r="8" spans="1:13" x14ac:dyDescent="0.25">
      <c r="A8" t="s">
        <v>387</v>
      </c>
      <c r="B8" t="s">
        <v>467</v>
      </c>
      <c r="C8" t="s">
        <v>349</v>
      </c>
      <c r="D8"/>
      <c r="E8"/>
      <c r="F8"/>
      <c r="G8">
        <v>218</v>
      </c>
      <c r="H8" t="s">
        <v>985</v>
      </c>
      <c r="I8" t="s">
        <v>623</v>
      </c>
      <c r="J8" s="29" t="s">
        <v>1089</v>
      </c>
      <c r="K8" t="s">
        <v>986</v>
      </c>
      <c r="L8" t="s">
        <v>987</v>
      </c>
      <c r="M8" t="s">
        <v>351</v>
      </c>
    </row>
    <row r="9" spans="1:13" x14ac:dyDescent="0.25">
      <c r="A9" t="s">
        <v>546</v>
      </c>
      <c r="B9"/>
      <c r="C9" t="s">
        <v>349</v>
      </c>
      <c r="D9"/>
      <c r="E9"/>
      <c r="F9"/>
      <c r="G9">
        <v>1173</v>
      </c>
      <c r="H9" t="s">
        <v>640</v>
      </c>
      <c r="I9" t="s">
        <v>625</v>
      </c>
      <c r="J9" s="29" t="s">
        <v>1090</v>
      </c>
      <c r="K9" t="s">
        <v>1022</v>
      </c>
      <c r="L9" t="s">
        <v>1023</v>
      </c>
      <c r="M9" t="s">
        <v>351</v>
      </c>
    </row>
    <row r="10" spans="1:13" x14ac:dyDescent="0.25">
      <c r="A10" t="s">
        <v>546</v>
      </c>
      <c r="B10"/>
      <c r="C10" t="s">
        <v>349</v>
      </c>
      <c r="D10"/>
      <c r="E10"/>
      <c r="F10"/>
      <c r="G10">
        <v>40</v>
      </c>
      <c r="H10" t="s">
        <v>367</v>
      </c>
      <c r="I10" t="s">
        <v>583</v>
      </c>
      <c r="J10" s="29" t="s">
        <v>1091</v>
      </c>
      <c r="K10" t="s">
        <v>904</v>
      </c>
      <c r="L10" t="s">
        <v>905</v>
      </c>
      <c r="M10" t="s">
        <v>351</v>
      </c>
    </row>
    <row r="11" spans="1:13" x14ac:dyDescent="0.25">
      <c r="A11" t="s">
        <v>371</v>
      </c>
      <c r="B11" t="s">
        <v>429</v>
      </c>
      <c r="C11" t="s">
        <v>349</v>
      </c>
      <c r="D11"/>
      <c r="E11"/>
      <c r="F11" t="s">
        <v>710</v>
      </c>
      <c r="G11">
        <v>0.8</v>
      </c>
      <c r="H11" t="s">
        <v>356</v>
      </c>
      <c r="I11" t="s">
        <v>705</v>
      </c>
      <c r="J11" s="29" t="s">
        <v>1092</v>
      </c>
      <c r="K11" t="s">
        <v>753</v>
      </c>
      <c r="L11" t="s">
        <v>754</v>
      </c>
      <c r="M11" t="s">
        <v>351</v>
      </c>
    </row>
    <row r="12" spans="1:13" x14ac:dyDescent="0.25">
      <c r="A12" t="s">
        <v>1109</v>
      </c>
      <c r="B12"/>
      <c r="C12" t="s">
        <v>349</v>
      </c>
      <c r="D12"/>
      <c r="E12"/>
      <c r="F12"/>
      <c r="G12">
        <v>2.5</v>
      </c>
      <c r="H12" t="s">
        <v>356</v>
      </c>
      <c r="I12" t="s">
        <v>705</v>
      </c>
      <c r="J12" s="29" t="s">
        <v>1092</v>
      </c>
      <c r="K12" t="s">
        <v>753</v>
      </c>
      <c r="L12" t="s">
        <v>754</v>
      </c>
      <c r="M12" t="s">
        <v>351</v>
      </c>
    </row>
    <row r="13" spans="1:13" x14ac:dyDescent="0.25">
      <c r="A13" t="s">
        <v>413</v>
      </c>
      <c r="B13"/>
      <c r="C13" t="s">
        <v>349</v>
      </c>
      <c r="D13"/>
      <c r="E13"/>
      <c r="F13" t="s">
        <v>809</v>
      </c>
      <c r="G13">
        <v>2.7</v>
      </c>
      <c r="H13" t="s">
        <v>407</v>
      </c>
      <c r="I13" t="s">
        <v>705</v>
      </c>
      <c r="J13" s="29" t="s">
        <v>1092</v>
      </c>
      <c r="K13" t="s">
        <v>753</v>
      </c>
      <c r="L13" t="s">
        <v>754</v>
      </c>
      <c r="M13" t="s">
        <v>351</v>
      </c>
    </row>
    <row r="14" spans="1:13" x14ac:dyDescent="0.25">
      <c r="A14" t="s">
        <v>355</v>
      </c>
      <c r="B14"/>
      <c r="C14" t="s">
        <v>349</v>
      </c>
      <c r="D14"/>
      <c r="E14"/>
      <c r="F14"/>
      <c r="G14">
        <v>5.3</v>
      </c>
      <c r="H14" t="s">
        <v>367</v>
      </c>
      <c r="I14" t="s">
        <v>705</v>
      </c>
      <c r="J14" s="29" t="s">
        <v>1092</v>
      </c>
      <c r="K14" t="s">
        <v>753</v>
      </c>
      <c r="L14" t="s">
        <v>754</v>
      </c>
      <c r="M14" t="s">
        <v>351</v>
      </c>
    </row>
    <row r="15" spans="1:13" x14ac:dyDescent="0.25">
      <c r="A15" t="s">
        <v>371</v>
      </c>
      <c r="B15" t="s">
        <v>372</v>
      </c>
      <c r="C15" t="s">
        <v>349</v>
      </c>
      <c r="D15"/>
      <c r="E15"/>
      <c r="F15" t="s">
        <v>777</v>
      </c>
      <c r="G15">
        <v>6.2</v>
      </c>
      <c r="H15" t="s">
        <v>356</v>
      </c>
      <c r="I15" t="s">
        <v>705</v>
      </c>
      <c r="J15" s="29" t="s">
        <v>1092</v>
      </c>
      <c r="K15" t="s">
        <v>753</v>
      </c>
      <c r="L15" t="s">
        <v>754</v>
      </c>
      <c r="M15" t="s">
        <v>351</v>
      </c>
    </row>
    <row r="16" spans="1:13" x14ac:dyDescent="0.25">
      <c r="A16" t="s">
        <v>420</v>
      </c>
      <c r="B16"/>
      <c r="C16" t="s">
        <v>349</v>
      </c>
      <c r="D16"/>
      <c r="E16"/>
      <c r="F16" t="s">
        <v>738</v>
      </c>
      <c r="G16">
        <v>7.5</v>
      </c>
      <c r="H16" t="s">
        <v>356</v>
      </c>
      <c r="I16" t="s">
        <v>705</v>
      </c>
      <c r="J16" s="29" t="s">
        <v>1092</v>
      </c>
      <c r="K16" t="s">
        <v>753</v>
      </c>
      <c r="L16" t="s">
        <v>754</v>
      </c>
      <c r="M16" t="s">
        <v>351</v>
      </c>
    </row>
    <row r="17" spans="1:13" x14ac:dyDescent="0.25">
      <c r="A17" t="s">
        <v>484</v>
      </c>
      <c r="B17"/>
      <c r="C17" t="s">
        <v>349</v>
      </c>
      <c r="D17"/>
      <c r="E17"/>
      <c r="F17" t="s">
        <v>827</v>
      </c>
      <c r="G17">
        <v>8.8000000000000007</v>
      </c>
      <c r="H17" t="s">
        <v>364</v>
      </c>
      <c r="I17" t="s">
        <v>705</v>
      </c>
      <c r="J17" s="29" t="s">
        <v>1092</v>
      </c>
      <c r="K17" t="s">
        <v>753</v>
      </c>
      <c r="L17" t="s">
        <v>754</v>
      </c>
      <c r="M17" t="s">
        <v>351</v>
      </c>
    </row>
    <row r="18" spans="1:13" x14ac:dyDescent="0.25">
      <c r="A18" t="s">
        <v>472</v>
      </c>
      <c r="B18"/>
      <c r="C18" t="s">
        <v>349</v>
      </c>
      <c r="D18"/>
      <c r="E18"/>
      <c r="F18" t="s">
        <v>704</v>
      </c>
      <c r="G18">
        <v>23</v>
      </c>
      <c r="H18" t="s">
        <v>364</v>
      </c>
      <c r="I18" t="s">
        <v>705</v>
      </c>
      <c r="J18" s="29" t="s">
        <v>1092</v>
      </c>
      <c r="K18" t="s">
        <v>753</v>
      </c>
      <c r="L18" t="s">
        <v>754</v>
      </c>
      <c r="M18" t="s">
        <v>351</v>
      </c>
    </row>
    <row r="19" spans="1:13" x14ac:dyDescent="0.25">
      <c r="A19" t="s">
        <v>453</v>
      </c>
      <c r="B19" t="s">
        <v>590</v>
      </c>
      <c r="C19" t="s">
        <v>349</v>
      </c>
      <c r="D19"/>
      <c r="E19"/>
      <c r="F19"/>
      <c r="G19">
        <v>32</v>
      </c>
      <c r="H19" t="s">
        <v>364</v>
      </c>
      <c r="I19" t="s">
        <v>705</v>
      </c>
      <c r="J19" s="29" t="s">
        <v>1092</v>
      </c>
      <c r="K19" t="s">
        <v>753</v>
      </c>
      <c r="L19" t="s">
        <v>754</v>
      </c>
      <c r="M19" t="s">
        <v>351</v>
      </c>
    </row>
    <row r="20" spans="1:13" x14ac:dyDescent="0.25">
      <c r="A20" t="s">
        <v>568</v>
      </c>
      <c r="B20"/>
      <c r="C20" t="s">
        <v>349</v>
      </c>
      <c r="D20"/>
      <c r="E20"/>
      <c r="F20"/>
      <c r="G20">
        <v>39</v>
      </c>
      <c r="H20" t="s">
        <v>356</v>
      </c>
      <c r="I20" t="s">
        <v>705</v>
      </c>
      <c r="J20" s="29" t="s">
        <v>1092</v>
      </c>
      <c r="K20" t="s">
        <v>753</v>
      </c>
      <c r="L20" t="s">
        <v>754</v>
      </c>
      <c r="M20" t="s">
        <v>351</v>
      </c>
    </row>
    <row r="21" spans="1:13" x14ac:dyDescent="0.25">
      <c r="A21" t="s">
        <v>546</v>
      </c>
      <c r="B21"/>
      <c r="C21" t="s">
        <v>349</v>
      </c>
      <c r="D21"/>
      <c r="E21"/>
      <c r="F21"/>
      <c r="G21">
        <v>55</v>
      </c>
      <c r="H21" t="s">
        <v>404</v>
      </c>
      <c r="I21" t="s">
        <v>705</v>
      </c>
      <c r="J21" s="29" t="s">
        <v>1092</v>
      </c>
      <c r="K21" t="s">
        <v>753</v>
      </c>
      <c r="L21" t="s">
        <v>754</v>
      </c>
      <c r="M21" t="s">
        <v>351</v>
      </c>
    </row>
    <row r="22" spans="1:13" x14ac:dyDescent="0.25">
      <c r="A22" t="s">
        <v>397</v>
      </c>
      <c r="B22"/>
      <c r="C22" t="s">
        <v>349</v>
      </c>
      <c r="D22"/>
      <c r="E22"/>
      <c r="F22" t="s">
        <v>943</v>
      </c>
      <c r="G22">
        <v>64.27</v>
      </c>
      <c r="H22" t="s">
        <v>356</v>
      </c>
      <c r="I22" t="s">
        <v>705</v>
      </c>
      <c r="J22" s="29" t="s">
        <v>1092</v>
      </c>
      <c r="K22" t="s">
        <v>753</v>
      </c>
      <c r="L22" t="s">
        <v>754</v>
      </c>
      <c r="M22" t="s">
        <v>351</v>
      </c>
    </row>
    <row r="23" spans="1:13" x14ac:dyDescent="0.25">
      <c r="A23" t="s">
        <v>462</v>
      </c>
      <c r="B23" t="s">
        <v>449</v>
      </c>
      <c r="C23" t="s">
        <v>349</v>
      </c>
      <c r="D23"/>
      <c r="E23"/>
      <c r="F23"/>
      <c r="G23">
        <v>64.8</v>
      </c>
      <c r="H23" t="s">
        <v>364</v>
      </c>
      <c r="I23" t="s">
        <v>705</v>
      </c>
      <c r="J23" s="29" t="s">
        <v>1092</v>
      </c>
      <c r="K23" t="s">
        <v>753</v>
      </c>
      <c r="L23" t="s">
        <v>754</v>
      </c>
      <c r="M23" t="s">
        <v>351</v>
      </c>
    </row>
    <row r="24" spans="1:13" x14ac:dyDescent="0.25">
      <c r="A24" t="s">
        <v>432</v>
      </c>
      <c r="B24"/>
      <c r="C24" t="s">
        <v>349</v>
      </c>
      <c r="D24"/>
      <c r="E24"/>
      <c r="F24"/>
      <c r="G24">
        <v>180</v>
      </c>
      <c r="H24" t="s">
        <v>395</v>
      </c>
      <c r="I24" t="s">
        <v>705</v>
      </c>
      <c r="J24" s="29" t="s">
        <v>1092</v>
      </c>
      <c r="K24" t="s">
        <v>753</v>
      </c>
      <c r="L24" t="s">
        <v>754</v>
      </c>
      <c r="M24" t="s">
        <v>351</v>
      </c>
    </row>
    <row r="25" spans="1:13" x14ac:dyDescent="0.25">
      <c r="A25" t="s">
        <v>438</v>
      </c>
      <c r="B25" t="s">
        <v>439</v>
      </c>
      <c r="C25" t="s">
        <v>349</v>
      </c>
      <c r="D25"/>
      <c r="E25"/>
      <c r="F25"/>
      <c r="G25">
        <v>0.3</v>
      </c>
      <c r="H25" t="s">
        <v>356</v>
      </c>
      <c r="I25" t="s">
        <v>384</v>
      </c>
      <c r="J25" s="29" t="s">
        <v>1093</v>
      </c>
      <c r="K25" t="s">
        <v>717</v>
      </c>
      <c r="L25" t="s">
        <v>718</v>
      </c>
      <c r="M25" t="s">
        <v>351</v>
      </c>
    </row>
    <row r="26" spans="1:13" x14ac:dyDescent="0.25">
      <c r="A26" t="s">
        <v>447</v>
      </c>
      <c r="B26"/>
      <c r="C26" t="s">
        <v>349</v>
      </c>
      <c r="D26"/>
      <c r="E26"/>
      <c r="F26" t="s">
        <v>431</v>
      </c>
      <c r="G26">
        <v>0.5</v>
      </c>
      <c r="H26" t="s">
        <v>356</v>
      </c>
      <c r="I26" t="s">
        <v>384</v>
      </c>
      <c r="J26" s="29" t="s">
        <v>1093</v>
      </c>
      <c r="K26" t="s">
        <v>717</v>
      </c>
      <c r="L26" t="s">
        <v>718</v>
      </c>
      <c r="M26" t="s">
        <v>351</v>
      </c>
    </row>
    <row r="27" spans="1:13" x14ac:dyDescent="0.25">
      <c r="A27" t="s">
        <v>373</v>
      </c>
      <c r="B27" t="s">
        <v>381</v>
      </c>
      <c r="C27" t="s">
        <v>349</v>
      </c>
      <c r="D27"/>
      <c r="E27"/>
      <c r="F27" t="s">
        <v>742</v>
      </c>
      <c r="G27">
        <v>0.5</v>
      </c>
      <c r="H27" t="s">
        <v>356</v>
      </c>
      <c r="I27" t="s">
        <v>384</v>
      </c>
      <c r="J27" s="29" t="s">
        <v>1093</v>
      </c>
      <c r="K27" t="s">
        <v>717</v>
      </c>
      <c r="L27" t="s">
        <v>718</v>
      </c>
      <c r="M27" t="s">
        <v>351</v>
      </c>
    </row>
    <row r="28" spans="1:13" x14ac:dyDescent="0.25">
      <c r="A28" t="s">
        <v>373</v>
      </c>
      <c r="B28" t="s">
        <v>748</v>
      </c>
      <c r="C28" t="s">
        <v>349</v>
      </c>
      <c r="D28"/>
      <c r="E28"/>
      <c r="F28" t="s">
        <v>428</v>
      </c>
      <c r="G28">
        <v>0.6</v>
      </c>
      <c r="H28" t="s">
        <v>356</v>
      </c>
      <c r="I28" t="s">
        <v>384</v>
      </c>
      <c r="J28" s="29" t="s">
        <v>1093</v>
      </c>
      <c r="K28" t="s">
        <v>717</v>
      </c>
      <c r="L28" t="s">
        <v>718</v>
      </c>
      <c r="M28" t="s">
        <v>351</v>
      </c>
    </row>
    <row r="29" spans="1:13" x14ac:dyDescent="0.25">
      <c r="A29" t="s">
        <v>371</v>
      </c>
      <c r="B29" t="s">
        <v>429</v>
      </c>
      <c r="C29" t="s">
        <v>349</v>
      </c>
      <c r="D29"/>
      <c r="E29"/>
      <c r="F29" t="s">
        <v>555</v>
      </c>
      <c r="G29">
        <v>0.7</v>
      </c>
      <c r="H29" t="s">
        <v>356</v>
      </c>
      <c r="I29" t="s">
        <v>384</v>
      </c>
      <c r="J29" s="29" t="s">
        <v>1093</v>
      </c>
      <c r="K29" t="s">
        <v>717</v>
      </c>
      <c r="L29" t="s">
        <v>718</v>
      </c>
      <c r="M29" t="s">
        <v>351</v>
      </c>
    </row>
    <row r="30" spans="1:13" x14ac:dyDescent="0.25">
      <c r="A30" t="s">
        <v>373</v>
      </c>
      <c r="B30" t="s">
        <v>429</v>
      </c>
      <c r="C30" t="s">
        <v>349</v>
      </c>
      <c r="D30"/>
      <c r="E30"/>
      <c r="F30" t="s">
        <v>752</v>
      </c>
      <c r="G30">
        <v>0.8</v>
      </c>
      <c r="H30" t="s">
        <v>356</v>
      </c>
      <c r="I30" t="s">
        <v>384</v>
      </c>
      <c r="J30" s="29" t="s">
        <v>1093</v>
      </c>
      <c r="K30" t="s">
        <v>717</v>
      </c>
      <c r="L30" t="s">
        <v>718</v>
      </c>
      <c r="M30" t="s">
        <v>351</v>
      </c>
    </row>
    <row r="31" spans="1:13" x14ac:dyDescent="0.25">
      <c r="A31" t="s">
        <v>782</v>
      </c>
      <c r="B31" t="s">
        <v>783</v>
      </c>
      <c r="C31" t="s">
        <v>349</v>
      </c>
      <c r="D31"/>
      <c r="E31"/>
      <c r="F31"/>
      <c r="G31">
        <v>1.1000000000000001</v>
      </c>
      <c r="H31" t="s">
        <v>356</v>
      </c>
      <c r="I31" t="s">
        <v>384</v>
      </c>
      <c r="J31" s="29" t="s">
        <v>1093</v>
      </c>
      <c r="K31" t="s">
        <v>717</v>
      </c>
      <c r="L31" t="s">
        <v>718</v>
      </c>
      <c r="M31" t="s">
        <v>351</v>
      </c>
    </row>
    <row r="32" spans="1:13" x14ac:dyDescent="0.25">
      <c r="A32" t="s">
        <v>413</v>
      </c>
      <c r="B32"/>
      <c r="C32" t="s">
        <v>349</v>
      </c>
      <c r="D32"/>
      <c r="E32"/>
      <c r="F32" t="s">
        <v>418</v>
      </c>
      <c r="G32">
        <v>1.2</v>
      </c>
      <c r="H32" t="s">
        <v>368</v>
      </c>
      <c r="I32" t="s">
        <v>384</v>
      </c>
      <c r="J32" s="29" t="s">
        <v>1093</v>
      </c>
      <c r="K32" t="s">
        <v>717</v>
      </c>
      <c r="L32" t="s">
        <v>718</v>
      </c>
      <c r="M32" t="s">
        <v>351</v>
      </c>
    </row>
    <row r="33" spans="1:13" x14ac:dyDescent="0.25">
      <c r="A33" t="s">
        <v>371</v>
      </c>
      <c r="B33" t="s">
        <v>430</v>
      </c>
      <c r="C33" t="s">
        <v>349</v>
      </c>
      <c r="D33"/>
      <c r="E33"/>
      <c r="F33" t="s">
        <v>377</v>
      </c>
      <c r="G33">
        <v>1.4</v>
      </c>
      <c r="H33" t="s">
        <v>356</v>
      </c>
      <c r="I33" t="s">
        <v>384</v>
      </c>
      <c r="J33" s="29" t="s">
        <v>1093</v>
      </c>
      <c r="K33" t="s">
        <v>717</v>
      </c>
      <c r="L33" t="s">
        <v>718</v>
      </c>
      <c r="M33" t="s">
        <v>351</v>
      </c>
    </row>
    <row r="34" spans="1:13" x14ac:dyDescent="0.25">
      <c r="A34" t="s">
        <v>468</v>
      </c>
      <c r="B34"/>
      <c r="C34" t="s">
        <v>349</v>
      </c>
      <c r="D34"/>
      <c r="E34"/>
      <c r="F34" t="s">
        <v>437</v>
      </c>
      <c r="G34">
        <v>1.6</v>
      </c>
      <c r="H34" t="s">
        <v>361</v>
      </c>
      <c r="I34" t="s">
        <v>384</v>
      </c>
      <c r="J34" s="29" t="s">
        <v>1093</v>
      </c>
      <c r="K34" t="s">
        <v>717</v>
      </c>
      <c r="L34" t="s">
        <v>718</v>
      </c>
      <c r="M34" t="s">
        <v>351</v>
      </c>
    </row>
    <row r="35" spans="1:13" x14ac:dyDescent="0.25">
      <c r="A35" t="s">
        <v>355</v>
      </c>
      <c r="B35"/>
      <c r="C35" t="s">
        <v>349</v>
      </c>
      <c r="D35" t="s">
        <v>577</v>
      </c>
      <c r="E35"/>
      <c r="F35"/>
      <c r="G35">
        <v>1.8</v>
      </c>
      <c r="H35" t="s">
        <v>356</v>
      </c>
      <c r="I35" t="s">
        <v>384</v>
      </c>
      <c r="J35" s="29" t="s">
        <v>1093</v>
      </c>
      <c r="K35" t="s">
        <v>717</v>
      </c>
      <c r="L35" t="s">
        <v>718</v>
      </c>
      <c r="M35" t="s">
        <v>351</v>
      </c>
    </row>
    <row r="36" spans="1:13" x14ac:dyDescent="0.25">
      <c r="A36" t="s">
        <v>444</v>
      </c>
      <c r="B36"/>
      <c r="C36" t="s">
        <v>349</v>
      </c>
      <c r="D36"/>
      <c r="E36"/>
      <c r="F36" t="s">
        <v>473</v>
      </c>
      <c r="G36">
        <v>2</v>
      </c>
      <c r="H36" t="s">
        <v>356</v>
      </c>
      <c r="I36" t="s">
        <v>384</v>
      </c>
      <c r="J36" s="29" t="s">
        <v>1093</v>
      </c>
      <c r="K36" t="s">
        <v>717</v>
      </c>
      <c r="L36" t="s">
        <v>718</v>
      </c>
      <c r="M36" t="s">
        <v>351</v>
      </c>
    </row>
    <row r="37" spans="1:13" x14ac:dyDescent="0.25">
      <c r="A37" t="s">
        <v>387</v>
      </c>
      <c r="B37" t="s">
        <v>467</v>
      </c>
      <c r="C37" t="s">
        <v>349</v>
      </c>
      <c r="D37"/>
      <c r="E37"/>
      <c r="F37"/>
      <c r="G37">
        <v>2</v>
      </c>
      <c r="H37" t="s">
        <v>356</v>
      </c>
      <c r="I37" t="s">
        <v>384</v>
      </c>
      <c r="J37" s="29" t="s">
        <v>1093</v>
      </c>
      <c r="K37" t="s">
        <v>717</v>
      </c>
      <c r="L37" t="s">
        <v>718</v>
      </c>
      <c r="M37" t="s">
        <v>351</v>
      </c>
    </row>
    <row r="38" spans="1:13" x14ac:dyDescent="0.25">
      <c r="A38" t="s">
        <v>1109</v>
      </c>
      <c r="B38"/>
      <c r="C38" t="s">
        <v>349</v>
      </c>
      <c r="D38"/>
      <c r="E38"/>
      <c r="F38"/>
      <c r="G38">
        <v>2.1</v>
      </c>
      <c r="H38" t="s">
        <v>356</v>
      </c>
      <c r="I38" t="s">
        <v>384</v>
      </c>
      <c r="J38" s="29" t="s">
        <v>1093</v>
      </c>
      <c r="K38" t="s">
        <v>717</v>
      </c>
      <c r="L38" t="s">
        <v>718</v>
      </c>
      <c r="M38" t="s">
        <v>351</v>
      </c>
    </row>
    <row r="39" spans="1:13" x14ac:dyDescent="0.25">
      <c r="A39" t="s">
        <v>483</v>
      </c>
      <c r="B39"/>
      <c r="C39" t="s">
        <v>349</v>
      </c>
      <c r="D39"/>
      <c r="E39"/>
      <c r="F39" t="s">
        <v>473</v>
      </c>
      <c r="G39">
        <v>2.7</v>
      </c>
      <c r="H39" t="s">
        <v>367</v>
      </c>
      <c r="I39" t="s">
        <v>384</v>
      </c>
      <c r="J39" s="29" t="s">
        <v>1093</v>
      </c>
      <c r="K39" t="s">
        <v>717</v>
      </c>
      <c r="L39" t="s">
        <v>718</v>
      </c>
      <c r="M39" t="s">
        <v>351</v>
      </c>
    </row>
    <row r="40" spans="1:13" x14ac:dyDescent="0.25">
      <c r="A40" t="s">
        <v>371</v>
      </c>
      <c r="B40" t="s">
        <v>442</v>
      </c>
      <c r="C40" t="s">
        <v>349</v>
      </c>
      <c r="D40"/>
      <c r="E40"/>
      <c r="F40" t="s">
        <v>377</v>
      </c>
      <c r="G40">
        <v>6</v>
      </c>
      <c r="H40" t="s">
        <v>356</v>
      </c>
      <c r="I40" t="s">
        <v>384</v>
      </c>
      <c r="J40" s="29" t="s">
        <v>1093</v>
      </c>
      <c r="K40" t="s">
        <v>717</v>
      </c>
      <c r="L40" t="s">
        <v>718</v>
      </c>
      <c r="M40" t="s">
        <v>351</v>
      </c>
    </row>
    <row r="41" spans="1:13" x14ac:dyDescent="0.25">
      <c r="A41" t="s">
        <v>550</v>
      </c>
      <c r="B41"/>
      <c r="C41" t="s">
        <v>349</v>
      </c>
      <c r="D41"/>
      <c r="E41"/>
      <c r="F41"/>
      <c r="G41">
        <v>7.3</v>
      </c>
      <c r="H41" t="s">
        <v>356</v>
      </c>
      <c r="I41" t="s">
        <v>384</v>
      </c>
      <c r="J41" s="29" t="s">
        <v>1093</v>
      </c>
      <c r="K41" t="s">
        <v>717</v>
      </c>
      <c r="L41" t="s">
        <v>718</v>
      </c>
      <c r="M41" t="s">
        <v>351</v>
      </c>
    </row>
    <row r="42" spans="1:13" x14ac:dyDescent="0.25">
      <c r="A42" t="s">
        <v>560</v>
      </c>
      <c r="B42"/>
      <c r="C42" t="s">
        <v>349</v>
      </c>
      <c r="D42" t="s">
        <v>879</v>
      </c>
      <c r="E42"/>
      <c r="F42"/>
      <c r="G42">
        <v>12</v>
      </c>
      <c r="H42" t="s">
        <v>356</v>
      </c>
      <c r="I42" t="s">
        <v>384</v>
      </c>
      <c r="J42" s="29" t="s">
        <v>1093</v>
      </c>
      <c r="K42" t="s">
        <v>717</v>
      </c>
      <c r="L42" t="s">
        <v>718</v>
      </c>
      <c r="M42" t="s">
        <v>351</v>
      </c>
    </row>
    <row r="43" spans="1:13" x14ac:dyDescent="0.25">
      <c r="A43" t="s">
        <v>484</v>
      </c>
      <c r="B43"/>
      <c r="C43" t="s">
        <v>349</v>
      </c>
      <c r="D43"/>
      <c r="E43"/>
      <c r="F43" t="s">
        <v>464</v>
      </c>
      <c r="G43">
        <v>16.3</v>
      </c>
      <c r="H43" t="s">
        <v>364</v>
      </c>
      <c r="I43" t="s">
        <v>384</v>
      </c>
      <c r="J43" s="29" t="s">
        <v>1093</v>
      </c>
      <c r="K43" t="s">
        <v>717</v>
      </c>
      <c r="L43" t="s">
        <v>718</v>
      </c>
      <c r="M43" t="s">
        <v>351</v>
      </c>
    </row>
    <row r="44" spans="1:13" x14ac:dyDescent="0.25">
      <c r="A44" t="s">
        <v>485</v>
      </c>
      <c r="B44" t="s">
        <v>381</v>
      </c>
      <c r="C44" t="s">
        <v>349</v>
      </c>
      <c r="D44"/>
      <c r="E44"/>
      <c r="F44"/>
      <c r="G44">
        <v>17.600000000000001</v>
      </c>
      <c r="H44" t="s">
        <v>364</v>
      </c>
      <c r="I44" t="s">
        <v>384</v>
      </c>
      <c r="J44" s="29" t="s">
        <v>1093</v>
      </c>
      <c r="K44" t="s">
        <v>717</v>
      </c>
      <c r="L44" t="s">
        <v>718</v>
      </c>
      <c r="M44" t="s">
        <v>351</v>
      </c>
    </row>
    <row r="45" spans="1:13" x14ac:dyDescent="0.25">
      <c r="A45" t="s">
        <v>472</v>
      </c>
      <c r="B45"/>
      <c r="C45" t="s">
        <v>349</v>
      </c>
      <c r="D45"/>
      <c r="E45"/>
      <c r="F45" t="s">
        <v>555</v>
      </c>
      <c r="G45">
        <v>19.8</v>
      </c>
      <c r="H45" t="s">
        <v>356</v>
      </c>
      <c r="I45" t="s">
        <v>384</v>
      </c>
      <c r="J45" s="29" t="s">
        <v>1093</v>
      </c>
      <c r="K45" t="s">
        <v>717</v>
      </c>
      <c r="L45" t="s">
        <v>718</v>
      </c>
      <c r="M45" t="s">
        <v>351</v>
      </c>
    </row>
    <row r="46" spans="1:13" x14ac:dyDescent="0.25">
      <c r="A46" t="s">
        <v>546</v>
      </c>
      <c r="B46"/>
      <c r="C46" t="s">
        <v>349</v>
      </c>
      <c r="D46"/>
      <c r="E46"/>
      <c r="F46"/>
      <c r="G46">
        <v>52.1</v>
      </c>
      <c r="H46" t="s">
        <v>604</v>
      </c>
      <c r="I46" t="s">
        <v>384</v>
      </c>
      <c r="J46" s="29" t="s">
        <v>1093</v>
      </c>
      <c r="K46" t="s">
        <v>717</v>
      </c>
      <c r="L46" t="s">
        <v>718</v>
      </c>
      <c r="M46" t="s">
        <v>351</v>
      </c>
    </row>
    <row r="47" spans="1:13" x14ac:dyDescent="0.25">
      <c r="A47" t="s">
        <v>568</v>
      </c>
      <c r="B47"/>
      <c r="C47" t="s">
        <v>349</v>
      </c>
      <c r="D47"/>
      <c r="E47"/>
      <c r="F47"/>
      <c r="G47">
        <v>56.3</v>
      </c>
      <c r="H47" t="s">
        <v>356</v>
      </c>
      <c r="I47" t="s">
        <v>384</v>
      </c>
      <c r="J47" s="29" t="s">
        <v>1093</v>
      </c>
      <c r="K47" t="s">
        <v>717</v>
      </c>
      <c r="L47" t="s">
        <v>718</v>
      </c>
      <c r="M47" t="s">
        <v>351</v>
      </c>
    </row>
    <row r="48" spans="1:13" x14ac:dyDescent="0.25">
      <c r="A48" t="s">
        <v>432</v>
      </c>
      <c r="B48"/>
      <c r="C48" t="s">
        <v>349</v>
      </c>
      <c r="D48"/>
      <c r="E48"/>
      <c r="F48"/>
      <c r="G48">
        <v>125.4</v>
      </c>
      <c r="H48" t="s">
        <v>536</v>
      </c>
      <c r="I48" t="s">
        <v>384</v>
      </c>
      <c r="J48" s="29" t="s">
        <v>1093</v>
      </c>
      <c r="K48" t="s">
        <v>717</v>
      </c>
      <c r="L48" t="s">
        <v>718</v>
      </c>
      <c r="M48" t="s">
        <v>351</v>
      </c>
    </row>
    <row r="49" spans="1:13" x14ac:dyDescent="0.25">
      <c r="A49" t="s">
        <v>413</v>
      </c>
      <c r="B49"/>
      <c r="C49" t="s">
        <v>349</v>
      </c>
      <c r="D49"/>
      <c r="E49"/>
      <c r="F49" t="s">
        <v>500</v>
      </c>
      <c r="G49">
        <v>1</v>
      </c>
      <c r="H49" t="s">
        <v>356</v>
      </c>
      <c r="I49" t="s">
        <v>358</v>
      </c>
      <c r="J49" s="29" t="s">
        <v>1094</v>
      </c>
      <c r="K49" t="s">
        <v>773</v>
      </c>
      <c r="L49" t="s">
        <v>774</v>
      </c>
      <c r="M49" t="s">
        <v>351</v>
      </c>
    </row>
    <row r="50" spans="1:13" x14ac:dyDescent="0.25">
      <c r="A50" t="s">
        <v>432</v>
      </c>
      <c r="B50"/>
      <c r="C50" t="s">
        <v>349</v>
      </c>
      <c r="D50"/>
      <c r="E50"/>
      <c r="F50"/>
      <c r="G50">
        <v>21</v>
      </c>
      <c r="H50" t="s">
        <v>364</v>
      </c>
      <c r="I50" t="s">
        <v>358</v>
      </c>
      <c r="J50" s="29" t="s">
        <v>1094</v>
      </c>
      <c r="K50" t="s">
        <v>773</v>
      </c>
      <c r="L50" t="s">
        <v>774</v>
      </c>
      <c r="M50" t="s">
        <v>351</v>
      </c>
    </row>
    <row r="51" spans="1:13" x14ac:dyDescent="0.25">
      <c r="A51" t="s">
        <v>458</v>
      </c>
      <c r="B51"/>
      <c r="C51" t="s">
        <v>349</v>
      </c>
      <c r="D51"/>
      <c r="E51"/>
      <c r="F51" t="s">
        <v>382</v>
      </c>
      <c r="G51">
        <v>30</v>
      </c>
      <c r="H51" t="s">
        <v>356</v>
      </c>
      <c r="I51" t="s">
        <v>358</v>
      </c>
      <c r="J51" s="29" t="s">
        <v>1094</v>
      </c>
      <c r="K51" t="s">
        <v>773</v>
      </c>
      <c r="L51" t="s">
        <v>774</v>
      </c>
      <c r="M51" t="s">
        <v>351</v>
      </c>
    </row>
    <row r="52" spans="1:13" x14ac:dyDescent="0.25">
      <c r="A52" t="s">
        <v>444</v>
      </c>
      <c r="B52"/>
      <c r="C52" t="s">
        <v>349</v>
      </c>
      <c r="D52"/>
      <c r="E52"/>
      <c r="F52" t="s">
        <v>382</v>
      </c>
      <c r="G52">
        <v>33</v>
      </c>
      <c r="H52" t="s">
        <v>356</v>
      </c>
      <c r="I52" t="s">
        <v>358</v>
      </c>
      <c r="J52" s="29" t="s">
        <v>1094</v>
      </c>
      <c r="K52" t="s">
        <v>773</v>
      </c>
      <c r="L52" t="s">
        <v>774</v>
      </c>
      <c r="M52" t="s">
        <v>351</v>
      </c>
    </row>
    <row r="53" spans="1:13" x14ac:dyDescent="0.25">
      <c r="A53" t="s">
        <v>413</v>
      </c>
      <c r="B53"/>
      <c r="C53" t="s">
        <v>349</v>
      </c>
      <c r="D53"/>
      <c r="E53"/>
      <c r="F53" t="s">
        <v>382</v>
      </c>
      <c r="G53">
        <v>105</v>
      </c>
      <c r="H53" t="s">
        <v>364</v>
      </c>
      <c r="I53" t="s">
        <v>358</v>
      </c>
      <c r="J53" s="29" t="s">
        <v>1094</v>
      </c>
      <c r="K53" t="s">
        <v>773</v>
      </c>
      <c r="L53" t="s">
        <v>774</v>
      </c>
      <c r="M53" t="s">
        <v>351</v>
      </c>
    </row>
    <row r="54" spans="1:13" x14ac:dyDescent="0.25">
      <c r="A54" t="s">
        <v>432</v>
      </c>
      <c r="B54"/>
      <c r="C54" t="s">
        <v>349</v>
      </c>
      <c r="D54"/>
      <c r="E54"/>
      <c r="F54"/>
      <c r="G54">
        <v>368</v>
      </c>
      <c r="H54" t="s">
        <v>635</v>
      </c>
      <c r="I54" t="s">
        <v>358</v>
      </c>
      <c r="J54" s="29" t="s">
        <v>1094</v>
      </c>
      <c r="K54" t="s">
        <v>773</v>
      </c>
      <c r="L54" t="s">
        <v>774</v>
      </c>
      <c r="M54" t="s">
        <v>351</v>
      </c>
    </row>
    <row r="55" spans="1:13" x14ac:dyDescent="0.25">
      <c r="A55" t="s">
        <v>491</v>
      </c>
      <c r="B55"/>
      <c r="C55" t="s">
        <v>349</v>
      </c>
      <c r="D55"/>
      <c r="E55"/>
      <c r="F55" t="s">
        <v>441</v>
      </c>
      <c r="G55">
        <v>3</v>
      </c>
      <c r="H55" t="s">
        <v>356</v>
      </c>
      <c r="I55" t="s">
        <v>817</v>
      </c>
      <c r="J55" s="29" t="s">
        <v>1095</v>
      </c>
      <c r="K55" t="s">
        <v>818</v>
      </c>
      <c r="L55" t="s">
        <v>805</v>
      </c>
      <c r="M55" t="s">
        <v>351</v>
      </c>
    </row>
    <row r="56" spans="1:13" x14ac:dyDescent="0.25">
      <c r="A56" t="s">
        <v>481</v>
      </c>
      <c r="B56"/>
      <c r="C56" t="s">
        <v>349</v>
      </c>
      <c r="D56"/>
      <c r="E56"/>
      <c r="F56" t="s">
        <v>569</v>
      </c>
      <c r="G56">
        <v>9</v>
      </c>
      <c r="H56" t="s">
        <v>356</v>
      </c>
      <c r="I56" t="s">
        <v>817</v>
      </c>
      <c r="J56" s="29" t="s">
        <v>1095</v>
      </c>
      <c r="K56" t="s">
        <v>818</v>
      </c>
      <c r="L56" t="s">
        <v>805</v>
      </c>
      <c r="M56" t="s">
        <v>351</v>
      </c>
    </row>
    <row r="57" spans="1:13" x14ac:dyDescent="0.25">
      <c r="A57" t="s">
        <v>552</v>
      </c>
      <c r="B57"/>
      <c r="C57" t="s">
        <v>349</v>
      </c>
      <c r="D57"/>
      <c r="E57"/>
      <c r="F57" t="s">
        <v>569</v>
      </c>
      <c r="G57">
        <v>9</v>
      </c>
      <c r="H57" t="s">
        <v>356</v>
      </c>
      <c r="I57" t="s">
        <v>817</v>
      </c>
      <c r="J57" s="29" t="s">
        <v>1095</v>
      </c>
      <c r="K57" t="s">
        <v>818</v>
      </c>
      <c r="L57" t="s">
        <v>805</v>
      </c>
      <c r="M57" t="s">
        <v>351</v>
      </c>
    </row>
    <row r="58" spans="1:13" x14ac:dyDescent="0.25">
      <c r="A58" t="s">
        <v>491</v>
      </c>
      <c r="B58"/>
      <c r="C58" t="s">
        <v>349</v>
      </c>
      <c r="D58"/>
      <c r="E58"/>
      <c r="F58" t="s">
        <v>441</v>
      </c>
      <c r="G58">
        <v>9</v>
      </c>
      <c r="H58" t="s">
        <v>356</v>
      </c>
      <c r="I58" t="s">
        <v>817</v>
      </c>
      <c r="J58" s="29" t="s">
        <v>1095</v>
      </c>
      <c r="K58" t="s">
        <v>818</v>
      </c>
      <c r="L58" t="s">
        <v>805</v>
      </c>
      <c r="M58" t="s">
        <v>351</v>
      </c>
    </row>
    <row r="59" spans="1:13" x14ac:dyDescent="0.25">
      <c r="A59" t="s">
        <v>868</v>
      </c>
      <c r="B59" t="s">
        <v>870</v>
      </c>
      <c r="C59" t="s">
        <v>349</v>
      </c>
      <c r="D59"/>
      <c r="E59"/>
      <c r="F59"/>
      <c r="G59">
        <v>10</v>
      </c>
      <c r="H59" t="s">
        <v>364</v>
      </c>
      <c r="I59" t="s">
        <v>817</v>
      </c>
      <c r="J59" s="29" t="s">
        <v>1095</v>
      </c>
      <c r="K59" t="s">
        <v>818</v>
      </c>
      <c r="L59" t="s">
        <v>805</v>
      </c>
      <c r="M59" t="s">
        <v>351</v>
      </c>
    </row>
    <row r="60" spans="1:13" x14ac:dyDescent="0.25">
      <c r="A60" t="s">
        <v>563</v>
      </c>
      <c r="B60" t="s">
        <v>877</v>
      </c>
      <c r="C60" t="s">
        <v>349</v>
      </c>
      <c r="D60"/>
      <c r="E60"/>
      <c r="F60"/>
      <c r="G60">
        <v>12</v>
      </c>
      <c r="H60" t="s">
        <v>364</v>
      </c>
      <c r="I60" t="s">
        <v>817</v>
      </c>
      <c r="J60" s="29" t="s">
        <v>1095</v>
      </c>
      <c r="K60" t="s">
        <v>818</v>
      </c>
      <c r="L60" t="s">
        <v>805</v>
      </c>
      <c r="M60" t="s">
        <v>351</v>
      </c>
    </row>
    <row r="61" spans="1:13" x14ac:dyDescent="0.25">
      <c r="A61" t="s">
        <v>563</v>
      </c>
      <c r="B61" t="s">
        <v>878</v>
      </c>
      <c r="C61" t="s">
        <v>349</v>
      </c>
      <c r="D61"/>
      <c r="E61"/>
      <c r="F61"/>
      <c r="G61">
        <v>12</v>
      </c>
      <c r="H61" t="s">
        <v>364</v>
      </c>
      <c r="I61" t="s">
        <v>817</v>
      </c>
      <c r="J61" s="29" t="s">
        <v>1095</v>
      </c>
      <c r="K61" t="s">
        <v>818</v>
      </c>
      <c r="L61" t="s">
        <v>805</v>
      </c>
      <c r="M61" t="s">
        <v>351</v>
      </c>
    </row>
    <row r="62" spans="1:13" x14ac:dyDescent="0.25">
      <c r="A62" t="s">
        <v>432</v>
      </c>
      <c r="B62"/>
      <c r="C62" t="s">
        <v>349</v>
      </c>
      <c r="D62"/>
      <c r="E62"/>
      <c r="F62"/>
      <c r="G62">
        <v>78</v>
      </c>
      <c r="H62" t="s">
        <v>523</v>
      </c>
      <c r="I62" t="s">
        <v>817</v>
      </c>
      <c r="J62" s="29" t="s">
        <v>1095</v>
      </c>
      <c r="K62" t="s">
        <v>818</v>
      </c>
      <c r="L62" t="s">
        <v>805</v>
      </c>
      <c r="M62" t="s">
        <v>351</v>
      </c>
    </row>
    <row r="63" spans="1:13" x14ac:dyDescent="0.25">
      <c r="A63" t="s">
        <v>365</v>
      </c>
      <c r="B63"/>
      <c r="C63"/>
      <c r="D63"/>
      <c r="E63"/>
      <c r="F63"/>
      <c r="G63">
        <v>12</v>
      </c>
      <c r="H63" t="s">
        <v>364</v>
      </c>
      <c r="I63" t="s">
        <v>817</v>
      </c>
      <c r="J63" s="29" t="s">
        <v>1095</v>
      </c>
      <c r="K63" t="s">
        <v>818</v>
      </c>
      <c r="L63" t="s">
        <v>805</v>
      </c>
      <c r="M63" t="s">
        <v>351</v>
      </c>
    </row>
    <row r="64" spans="1:13" x14ac:dyDescent="0.25">
      <c r="A64" t="s">
        <v>432</v>
      </c>
      <c r="B64"/>
      <c r="C64" t="s">
        <v>349</v>
      </c>
      <c r="D64"/>
      <c r="E64"/>
      <c r="F64"/>
      <c r="G64">
        <v>226</v>
      </c>
      <c r="H64" t="s">
        <v>389</v>
      </c>
      <c r="I64" t="s">
        <v>817</v>
      </c>
      <c r="J64" s="29" t="s">
        <v>1095</v>
      </c>
      <c r="K64" t="s">
        <v>818</v>
      </c>
      <c r="L64" t="s">
        <v>805</v>
      </c>
      <c r="M64" t="s">
        <v>351</v>
      </c>
    </row>
    <row r="65" spans="1:13" x14ac:dyDescent="0.25">
      <c r="A65" t="s">
        <v>542</v>
      </c>
      <c r="B65"/>
      <c r="C65" t="s">
        <v>349</v>
      </c>
      <c r="D65"/>
      <c r="E65"/>
      <c r="F65" t="s">
        <v>508</v>
      </c>
      <c r="G65">
        <v>388</v>
      </c>
      <c r="H65" t="s">
        <v>369</v>
      </c>
      <c r="I65" t="s">
        <v>817</v>
      </c>
      <c r="J65" s="29" t="s">
        <v>1095</v>
      </c>
      <c r="K65" t="s">
        <v>818</v>
      </c>
      <c r="L65" t="s">
        <v>805</v>
      </c>
      <c r="M65" t="s">
        <v>351</v>
      </c>
    </row>
    <row r="66" spans="1:13" x14ac:dyDescent="0.25">
      <c r="A66" t="s">
        <v>542</v>
      </c>
      <c r="B66"/>
      <c r="C66" t="s">
        <v>349</v>
      </c>
      <c r="D66"/>
      <c r="E66"/>
      <c r="F66" t="s">
        <v>508</v>
      </c>
      <c r="G66">
        <v>388</v>
      </c>
      <c r="H66" t="s">
        <v>369</v>
      </c>
      <c r="I66" t="s">
        <v>817</v>
      </c>
      <c r="J66" s="29" t="s">
        <v>1095</v>
      </c>
      <c r="K66" t="s">
        <v>818</v>
      </c>
      <c r="L66" t="s">
        <v>805</v>
      </c>
      <c r="M66" t="s">
        <v>351</v>
      </c>
    </row>
    <row r="67" spans="1:13" x14ac:dyDescent="0.25">
      <c r="A67" t="s">
        <v>438</v>
      </c>
      <c r="B67" t="s">
        <v>439</v>
      </c>
      <c r="C67" t="s">
        <v>349</v>
      </c>
      <c r="D67"/>
      <c r="E67"/>
      <c r="F67"/>
      <c r="G67">
        <v>0.3</v>
      </c>
      <c r="H67" t="s">
        <v>356</v>
      </c>
      <c r="I67" t="s">
        <v>384</v>
      </c>
      <c r="J67" s="29" t="s">
        <v>1096</v>
      </c>
      <c r="K67" t="s">
        <v>715</v>
      </c>
      <c r="L67" t="s">
        <v>716</v>
      </c>
      <c r="M67" t="s">
        <v>351</v>
      </c>
    </row>
    <row r="68" spans="1:13" x14ac:dyDescent="0.25">
      <c r="A68" t="s">
        <v>371</v>
      </c>
      <c r="B68" t="s">
        <v>725</v>
      </c>
      <c r="C68" t="s">
        <v>349</v>
      </c>
      <c r="D68"/>
      <c r="E68"/>
      <c r="F68" t="s">
        <v>451</v>
      </c>
      <c r="G68">
        <v>0.3</v>
      </c>
      <c r="H68" t="s">
        <v>356</v>
      </c>
      <c r="I68" t="s">
        <v>384</v>
      </c>
      <c r="J68" s="29" t="s">
        <v>1096</v>
      </c>
      <c r="K68" t="s">
        <v>715</v>
      </c>
      <c r="L68" t="s">
        <v>716</v>
      </c>
      <c r="M68" t="s">
        <v>351</v>
      </c>
    </row>
    <row r="69" spans="1:13" x14ac:dyDescent="0.25">
      <c r="A69" t="s">
        <v>435</v>
      </c>
      <c r="B69" t="s">
        <v>476</v>
      </c>
      <c r="C69" t="s">
        <v>349</v>
      </c>
      <c r="D69"/>
      <c r="E69"/>
      <c r="F69"/>
      <c r="G69">
        <v>0.3</v>
      </c>
      <c r="H69" t="s">
        <v>356</v>
      </c>
      <c r="I69" t="s">
        <v>384</v>
      </c>
      <c r="J69" s="29" t="s">
        <v>1096</v>
      </c>
      <c r="K69" t="s">
        <v>715</v>
      </c>
      <c r="L69" t="s">
        <v>716</v>
      </c>
      <c r="M69" t="s">
        <v>351</v>
      </c>
    </row>
    <row r="70" spans="1:13" x14ac:dyDescent="0.25">
      <c r="A70" t="s">
        <v>373</v>
      </c>
      <c r="B70" t="s">
        <v>426</v>
      </c>
      <c r="C70" t="s">
        <v>349</v>
      </c>
      <c r="D70"/>
      <c r="E70"/>
      <c r="F70" t="s">
        <v>375</v>
      </c>
      <c r="G70">
        <v>0.4</v>
      </c>
      <c r="H70" t="s">
        <v>356</v>
      </c>
      <c r="I70" t="s">
        <v>384</v>
      </c>
      <c r="J70" s="29" t="s">
        <v>1096</v>
      </c>
      <c r="K70" t="s">
        <v>715</v>
      </c>
      <c r="L70" t="s">
        <v>716</v>
      </c>
      <c r="M70" t="s">
        <v>351</v>
      </c>
    </row>
    <row r="71" spans="1:13" x14ac:dyDescent="0.25">
      <c r="A71" t="s">
        <v>1110</v>
      </c>
      <c r="B71"/>
      <c r="C71" t="s">
        <v>349</v>
      </c>
      <c r="D71"/>
      <c r="E71"/>
      <c r="F71"/>
      <c r="G71">
        <v>0.4</v>
      </c>
      <c r="H71" t="s">
        <v>356</v>
      </c>
      <c r="I71" t="s">
        <v>384</v>
      </c>
      <c r="J71" s="29" t="s">
        <v>1096</v>
      </c>
      <c r="K71" t="s">
        <v>715</v>
      </c>
      <c r="L71" t="s">
        <v>716</v>
      </c>
      <c r="M71" t="s">
        <v>351</v>
      </c>
    </row>
    <row r="72" spans="1:13" x14ac:dyDescent="0.25">
      <c r="A72" t="s">
        <v>373</v>
      </c>
      <c r="B72" t="s">
        <v>461</v>
      </c>
      <c r="C72" t="s">
        <v>349</v>
      </c>
      <c r="D72"/>
      <c r="E72"/>
      <c r="F72" t="s">
        <v>441</v>
      </c>
      <c r="G72">
        <v>0.5</v>
      </c>
      <c r="H72" t="s">
        <v>356</v>
      </c>
      <c r="I72" t="s">
        <v>384</v>
      </c>
      <c r="J72" s="29" t="s">
        <v>1096</v>
      </c>
      <c r="K72" t="s">
        <v>715</v>
      </c>
      <c r="L72" t="s">
        <v>716</v>
      </c>
      <c r="M72" t="s">
        <v>351</v>
      </c>
    </row>
    <row r="73" spans="1:13" x14ac:dyDescent="0.25">
      <c r="A73" t="s">
        <v>373</v>
      </c>
      <c r="B73" t="s">
        <v>748</v>
      </c>
      <c r="C73" t="s">
        <v>349</v>
      </c>
      <c r="D73"/>
      <c r="E73"/>
      <c r="F73" t="s">
        <v>428</v>
      </c>
      <c r="G73">
        <v>0.6</v>
      </c>
      <c r="H73" t="s">
        <v>356</v>
      </c>
      <c r="I73" t="s">
        <v>384</v>
      </c>
      <c r="J73" s="29" t="s">
        <v>1096</v>
      </c>
      <c r="K73" t="s">
        <v>715</v>
      </c>
      <c r="L73" t="s">
        <v>716</v>
      </c>
      <c r="M73" t="s">
        <v>351</v>
      </c>
    </row>
    <row r="74" spans="1:13" x14ac:dyDescent="0.25">
      <c r="A74" t="s">
        <v>485</v>
      </c>
      <c r="B74" t="s">
        <v>486</v>
      </c>
      <c r="C74" t="s">
        <v>349</v>
      </c>
      <c r="D74"/>
      <c r="E74"/>
      <c r="F74"/>
      <c r="G74">
        <v>0.7</v>
      </c>
      <c r="H74" t="s">
        <v>356</v>
      </c>
      <c r="I74" t="s">
        <v>384</v>
      </c>
      <c r="J74" s="29" t="s">
        <v>1096</v>
      </c>
      <c r="K74" t="s">
        <v>715</v>
      </c>
      <c r="L74" t="s">
        <v>716</v>
      </c>
      <c r="M74" t="s">
        <v>351</v>
      </c>
    </row>
    <row r="75" spans="1:13" x14ac:dyDescent="0.25">
      <c r="A75" t="s">
        <v>481</v>
      </c>
      <c r="B75"/>
      <c r="C75" t="s">
        <v>349</v>
      </c>
      <c r="D75"/>
      <c r="E75"/>
      <c r="F75" t="s">
        <v>482</v>
      </c>
      <c r="G75">
        <v>0.9</v>
      </c>
      <c r="H75" t="s">
        <v>356</v>
      </c>
      <c r="I75" t="s">
        <v>384</v>
      </c>
      <c r="J75" s="29" t="s">
        <v>1096</v>
      </c>
      <c r="K75" t="s">
        <v>715</v>
      </c>
      <c r="L75" t="s">
        <v>716</v>
      </c>
      <c r="M75" t="s">
        <v>351</v>
      </c>
    </row>
    <row r="76" spans="1:13" x14ac:dyDescent="0.25">
      <c r="A76" t="s">
        <v>420</v>
      </c>
      <c r="B76"/>
      <c r="C76" t="s">
        <v>349</v>
      </c>
      <c r="D76"/>
      <c r="E76"/>
      <c r="F76" t="s">
        <v>451</v>
      </c>
      <c r="G76">
        <v>1</v>
      </c>
      <c r="H76" t="s">
        <v>356</v>
      </c>
      <c r="I76" t="s">
        <v>384</v>
      </c>
      <c r="J76" s="29" t="s">
        <v>1096</v>
      </c>
      <c r="K76" t="s">
        <v>715</v>
      </c>
      <c r="L76" t="s">
        <v>716</v>
      </c>
      <c r="M76" t="s">
        <v>351</v>
      </c>
    </row>
    <row r="77" spans="1:13" x14ac:dyDescent="0.25">
      <c r="A77" t="s">
        <v>373</v>
      </c>
      <c r="B77" t="s">
        <v>507</v>
      </c>
      <c r="C77" t="s">
        <v>349</v>
      </c>
      <c r="D77"/>
      <c r="E77"/>
      <c r="F77" t="s">
        <v>428</v>
      </c>
      <c r="G77">
        <v>1.1000000000000001</v>
      </c>
      <c r="H77" t="s">
        <v>356</v>
      </c>
      <c r="I77" t="s">
        <v>384</v>
      </c>
      <c r="J77" s="29" t="s">
        <v>1096</v>
      </c>
      <c r="K77" t="s">
        <v>715</v>
      </c>
      <c r="L77" t="s">
        <v>716</v>
      </c>
      <c r="M77" t="s">
        <v>351</v>
      </c>
    </row>
    <row r="78" spans="1:13" x14ac:dyDescent="0.25">
      <c r="A78" t="s">
        <v>371</v>
      </c>
      <c r="B78" t="s">
        <v>507</v>
      </c>
      <c r="C78" t="s">
        <v>349</v>
      </c>
      <c r="D78"/>
      <c r="E78"/>
      <c r="F78" t="s">
        <v>380</v>
      </c>
      <c r="G78">
        <v>1.1000000000000001</v>
      </c>
      <c r="H78" t="s">
        <v>356</v>
      </c>
      <c r="I78" t="s">
        <v>384</v>
      </c>
      <c r="J78" s="29" t="s">
        <v>1096</v>
      </c>
      <c r="K78" t="s">
        <v>715</v>
      </c>
      <c r="L78" t="s">
        <v>716</v>
      </c>
      <c r="M78" t="s">
        <v>351</v>
      </c>
    </row>
    <row r="79" spans="1:13" x14ac:dyDescent="0.25">
      <c r="A79" t="s">
        <v>483</v>
      </c>
      <c r="B79"/>
      <c r="C79" t="s">
        <v>349</v>
      </c>
      <c r="D79"/>
      <c r="E79"/>
      <c r="F79" t="s">
        <v>473</v>
      </c>
      <c r="G79">
        <v>1.5</v>
      </c>
      <c r="H79" t="s">
        <v>364</v>
      </c>
      <c r="I79" t="s">
        <v>384</v>
      </c>
      <c r="J79" s="29" t="s">
        <v>1096</v>
      </c>
      <c r="K79" t="s">
        <v>715</v>
      </c>
      <c r="L79" t="s">
        <v>716</v>
      </c>
      <c r="M79" t="s">
        <v>351</v>
      </c>
    </row>
    <row r="80" spans="1:13" x14ac:dyDescent="0.25">
      <c r="A80" t="s">
        <v>419</v>
      </c>
      <c r="B80"/>
      <c r="C80" t="s">
        <v>349</v>
      </c>
      <c r="D80"/>
      <c r="E80"/>
      <c r="F80" t="s">
        <v>448</v>
      </c>
      <c r="G80">
        <v>1.6</v>
      </c>
      <c r="H80" t="s">
        <v>356</v>
      </c>
      <c r="I80" t="s">
        <v>384</v>
      </c>
      <c r="J80" s="29" t="s">
        <v>1096</v>
      </c>
      <c r="K80" t="s">
        <v>715</v>
      </c>
      <c r="L80" t="s">
        <v>716</v>
      </c>
      <c r="M80" t="s">
        <v>351</v>
      </c>
    </row>
    <row r="81" spans="1:13" x14ac:dyDescent="0.25">
      <c r="A81" t="s">
        <v>373</v>
      </c>
      <c r="B81" t="s">
        <v>471</v>
      </c>
      <c r="C81" t="s">
        <v>349</v>
      </c>
      <c r="D81"/>
      <c r="E81"/>
      <c r="F81" t="s">
        <v>415</v>
      </c>
      <c r="G81">
        <v>1.6</v>
      </c>
      <c r="H81" t="s">
        <v>364</v>
      </c>
      <c r="I81" t="s">
        <v>384</v>
      </c>
      <c r="J81" s="29" t="s">
        <v>1096</v>
      </c>
      <c r="K81" t="s">
        <v>715</v>
      </c>
      <c r="L81" t="s">
        <v>716</v>
      </c>
      <c r="M81" t="s">
        <v>351</v>
      </c>
    </row>
    <row r="82" spans="1:13" x14ac:dyDescent="0.25">
      <c r="A82" t="s">
        <v>468</v>
      </c>
      <c r="B82"/>
      <c r="C82" t="s">
        <v>349</v>
      </c>
      <c r="D82"/>
      <c r="E82"/>
      <c r="F82" t="s">
        <v>428</v>
      </c>
      <c r="G82">
        <v>1.9</v>
      </c>
      <c r="H82" t="s">
        <v>364</v>
      </c>
      <c r="I82" t="s">
        <v>384</v>
      </c>
      <c r="J82" s="29" t="s">
        <v>1096</v>
      </c>
      <c r="K82" t="s">
        <v>715</v>
      </c>
      <c r="L82" t="s">
        <v>716</v>
      </c>
      <c r="M82" t="s">
        <v>351</v>
      </c>
    </row>
    <row r="83" spans="1:13" x14ac:dyDescent="0.25">
      <c r="A83" t="s">
        <v>413</v>
      </c>
      <c r="B83"/>
      <c r="C83" t="s">
        <v>349</v>
      </c>
      <c r="D83"/>
      <c r="E83"/>
      <c r="F83" t="s">
        <v>418</v>
      </c>
      <c r="G83">
        <v>3.4</v>
      </c>
      <c r="H83" t="s">
        <v>369</v>
      </c>
      <c r="I83" t="s">
        <v>384</v>
      </c>
      <c r="J83" s="29" t="s">
        <v>1096</v>
      </c>
      <c r="K83" t="s">
        <v>715</v>
      </c>
      <c r="L83" t="s">
        <v>716</v>
      </c>
      <c r="M83" t="s">
        <v>351</v>
      </c>
    </row>
    <row r="84" spans="1:13" x14ac:dyDescent="0.25">
      <c r="A84" t="s">
        <v>498</v>
      </c>
      <c r="B84"/>
      <c r="C84" t="s">
        <v>349</v>
      </c>
      <c r="D84"/>
      <c r="E84"/>
      <c r="F84" t="s">
        <v>500</v>
      </c>
      <c r="G84">
        <v>4.9000000000000004</v>
      </c>
      <c r="H84" t="s">
        <v>356</v>
      </c>
      <c r="I84" t="s">
        <v>384</v>
      </c>
      <c r="J84" s="29" t="s">
        <v>1096</v>
      </c>
      <c r="K84" t="s">
        <v>715</v>
      </c>
      <c r="L84" t="s">
        <v>716</v>
      </c>
      <c r="M84" t="s">
        <v>351</v>
      </c>
    </row>
    <row r="85" spans="1:13" x14ac:dyDescent="0.25">
      <c r="A85" t="s">
        <v>371</v>
      </c>
      <c r="B85" t="s">
        <v>372</v>
      </c>
      <c r="C85" t="s">
        <v>349</v>
      </c>
      <c r="D85"/>
      <c r="E85"/>
      <c r="F85" t="s">
        <v>504</v>
      </c>
      <c r="G85">
        <v>6.2</v>
      </c>
      <c r="H85" t="s">
        <v>356</v>
      </c>
      <c r="I85" t="s">
        <v>384</v>
      </c>
      <c r="J85" s="29" t="s">
        <v>1096</v>
      </c>
      <c r="K85" t="s">
        <v>715</v>
      </c>
      <c r="L85" t="s">
        <v>716</v>
      </c>
      <c r="M85" t="s">
        <v>351</v>
      </c>
    </row>
    <row r="86" spans="1:13" x14ac:dyDescent="0.25">
      <c r="A86" t="s">
        <v>387</v>
      </c>
      <c r="B86" t="s">
        <v>467</v>
      </c>
      <c r="C86" t="s">
        <v>349</v>
      </c>
      <c r="D86"/>
      <c r="E86"/>
      <c r="F86"/>
      <c r="G86">
        <v>6.3</v>
      </c>
      <c r="H86" t="s">
        <v>367</v>
      </c>
      <c r="I86" t="s">
        <v>384</v>
      </c>
      <c r="J86" s="29" t="s">
        <v>1096</v>
      </c>
      <c r="K86" t="s">
        <v>715</v>
      </c>
      <c r="L86" t="s">
        <v>716</v>
      </c>
      <c r="M86" t="s">
        <v>351</v>
      </c>
    </row>
    <row r="87" spans="1:13" x14ac:dyDescent="0.25">
      <c r="A87" t="s">
        <v>423</v>
      </c>
      <c r="B87"/>
      <c r="C87" t="s">
        <v>349</v>
      </c>
      <c r="D87"/>
      <c r="E87"/>
      <c r="F87" t="s">
        <v>424</v>
      </c>
      <c r="G87">
        <v>6.5</v>
      </c>
      <c r="H87" t="s">
        <v>364</v>
      </c>
      <c r="I87" t="s">
        <v>384</v>
      </c>
      <c r="J87" s="29" t="s">
        <v>1096</v>
      </c>
      <c r="K87" t="s">
        <v>715</v>
      </c>
      <c r="L87" t="s">
        <v>716</v>
      </c>
      <c r="M87" t="s">
        <v>351</v>
      </c>
    </row>
    <row r="88" spans="1:13" x14ac:dyDescent="0.25">
      <c r="A88" t="s">
        <v>357</v>
      </c>
      <c r="B88" t="s">
        <v>603</v>
      </c>
      <c r="C88" t="s">
        <v>349</v>
      </c>
      <c r="D88"/>
      <c r="E88" t="s">
        <v>340</v>
      </c>
      <c r="F88"/>
      <c r="G88">
        <v>7.3</v>
      </c>
      <c r="H88" t="s">
        <v>356</v>
      </c>
      <c r="I88" t="s">
        <v>384</v>
      </c>
      <c r="J88" s="29" t="s">
        <v>1096</v>
      </c>
      <c r="K88" t="s">
        <v>715</v>
      </c>
      <c r="L88" t="s">
        <v>716</v>
      </c>
      <c r="M88" t="s">
        <v>351</v>
      </c>
    </row>
    <row r="89" spans="1:13" x14ac:dyDescent="0.25">
      <c r="A89" t="s">
        <v>485</v>
      </c>
      <c r="B89" t="s">
        <v>381</v>
      </c>
      <c r="C89" t="s">
        <v>349</v>
      </c>
      <c r="D89"/>
      <c r="E89"/>
      <c r="F89"/>
      <c r="G89">
        <v>7.6</v>
      </c>
      <c r="H89" t="s">
        <v>364</v>
      </c>
      <c r="I89" t="s">
        <v>384</v>
      </c>
      <c r="J89" s="29" t="s">
        <v>1096</v>
      </c>
      <c r="K89" t="s">
        <v>715</v>
      </c>
      <c r="L89" t="s">
        <v>716</v>
      </c>
      <c r="M89" t="s">
        <v>351</v>
      </c>
    </row>
    <row r="90" spans="1:13" x14ac:dyDescent="0.25">
      <c r="A90" t="s">
        <v>444</v>
      </c>
      <c r="B90"/>
      <c r="C90" t="s">
        <v>349</v>
      </c>
      <c r="D90"/>
      <c r="E90"/>
      <c r="F90" t="s">
        <v>473</v>
      </c>
      <c r="G90">
        <v>9.9</v>
      </c>
      <c r="H90" t="s">
        <v>367</v>
      </c>
      <c r="I90" t="s">
        <v>384</v>
      </c>
      <c r="J90" s="29" t="s">
        <v>1096</v>
      </c>
      <c r="K90" t="s">
        <v>715</v>
      </c>
      <c r="L90" t="s">
        <v>716</v>
      </c>
      <c r="M90" t="s">
        <v>351</v>
      </c>
    </row>
    <row r="91" spans="1:13" x14ac:dyDescent="0.25">
      <c r="A91" t="s">
        <v>560</v>
      </c>
      <c r="B91"/>
      <c r="C91" t="s">
        <v>349</v>
      </c>
      <c r="D91" t="s">
        <v>879</v>
      </c>
      <c r="E91"/>
      <c r="F91"/>
      <c r="G91">
        <v>12</v>
      </c>
      <c r="H91" t="s">
        <v>356</v>
      </c>
      <c r="I91" t="s">
        <v>384</v>
      </c>
      <c r="J91" s="29" t="s">
        <v>1096</v>
      </c>
      <c r="K91" t="s">
        <v>715</v>
      </c>
      <c r="L91" t="s">
        <v>716</v>
      </c>
      <c r="M91" t="s">
        <v>351</v>
      </c>
    </row>
    <row r="92" spans="1:13" x14ac:dyDescent="0.25">
      <c r="A92" t="s">
        <v>462</v>
      </c>
      <c r="B92" t="s">
        <v>585</v>
      </c>
      <c r="C92" t="s">
        <v>349</v>
      </c>
      <c r="D92"/>
      <c r="E92"/>
      <c r="F92"/>
      <c r="G92">
        <v>14.4</v>
      </c>
      <c r="H92" t="s">
        <v>356</v>
      </c>
      <c r="I92" t="s">
        <v>384</v>
      </c>
      <c r="J92" s="29" t="s">
        <v>1096</v>
      </c>
      <c r="K92" t="s">
        <v>715</v>
      </c>
      <c r="L92" t="s">
        <v>716</v>
      </c>
      <c r="M92" t="s">
        <v>351</v>
      </c>
    </row>
    <row r="93" spans="1:13" x14ac:dyDescent="0.25">
      <c r="A93" t="s">
        <v>484</v>
      </c>
      <c r="B93"/>
      <c r="C93" t="s">
        <v>349</v>
      </c>
      <c r="D93"/>
      <c r="E93"/>
      <c r="F93" t="s">
        <v>464</v>
      </c>
      <c r="G93">
        <v>41</v>
      </c>
      <c r="H93" t="s">
        <v>367</v>
      </c>
      <c r="I93" t="s">
        <v>384</v>
      </c>
      <c r="J93" s="29" t="s">
        <v>1096</v>
      </c>
      <c r="K93" t="s">
        <v>715</v>
      </c>
      <c r="L93" t="s">
        <v>716</v>
      </c>
      <c r="M93" t="s">
        <v>351</v>
      </c>
    </row>
    <row r="94" spans="1:13" x14ac:dyDescent="0.25">
      <c r="A94" t="s">
        <v>472</v>
      </c>
      <c r="B94"/>
      <c r="C94" t="s">
        <v>349</v>
      </c>
      <c r="D94"/>
      <c r="E94"/>
      <c r="F94" t="s">
        <v>473</v>
      </c>
      <c r="G94">
        <v>55.6</v>
      </c>
      <c r="H94" t="s">
        <v>368</v>
      </c>
      <c r="I94" t="s">
        <v>384</v>
      </c>
      <c r="J94" s="29" t="s">
        <v>1096</v>
      </c>
      <c r="K94" t="s">
        <v>715</v>
      </c>
      <c r="L94" t="s">
        <v>716</v>
      </c>
      <c r="M94" t="s">
        <v>351</v>
      </c>
    </row>
    <row r="95" spans="1:13" x14ac:dyDescent="0.25">
      <c r="A95" t="s">
        <v>546</v>
      </c>
      <c r="B95"/>
      <c r="C95" t="s">
        <v>349</v>
      </c>
      <c r="D95"/>
      <c r="E95"/>
      <c r="F95"/>
      <c r="G95">
        <v>59.8</v>
      </c>
      <c r="H95" t="s">
        <v>404</v>
      </c>
      <c r="I95" t="s">
        <v>384</v>
      </c>
      <c r="J95" s="29" t="s">
        <v>1096</v>
      </c>
      <c r="K95" t="s">
        <v>715</v>
      </c>
      <c r="L95" t="s">
        <v>716</v>
      </c>
      <c r="M95" t="s">
        <v>351</v>
      </c>
    </row>
    <row r="96" spans="1:13" x14ac:dyDescent="0.25">
      <c r="A96" t="s">
        <v>432</v>
      </c>
      <c r="B96"/>
      <c r="C96" t="s">
        <v>349</v>
      </c>
      <c r="D96"/>
      <c r="E96"/>
      <c r="F96"/>
      <c r="G96">
        <v>87.9</v>
      </c>
      <c r="H96" t="s">
        <v>370</v>
      </c>
      <c r="I96" t="s">
        <v>384</v>
      </c>
      <c r="J96" s="29" t="s">
        <v>1096</v>
      </c>
      <c r="K96" t="s">
        <v>715</v>
      </c>
      <c r="L96" t="s">
        <v>716</v>
      </c>
      <c r="M96" t="s">
        <v>351</v>
      </c>
    </row>
    <row r="97" spans="1:13" x14ac:dyDescent="0.25">
      <c r="A97" t="s">
        <v>462</v>
      </c>
      <c r="B97" t="s">
        <v>449</v>
      </c>
      <c r="C97" t="s">
        <v>349</v>
      </c>
      <c r="D97"/>
      <c r="E97"/>
      <c r="F97"/>
      <c r="G97">
        <v>97.8</v>
      </c>
      <c r="H97" t="s">
        <v>367</v>
      </c>
      <c r="I97" t="s">
        <v>384</v>
      </c>
      <c r="J97" s="29" t="s">
        <v>1096</v>
      </c>
      <c r="K97" t="s">
        <v>715</v>
      </c>
      <c r="L97" t="s">
        <v>716</v>
      </c>
      <c r="M97" t="s">
        <v>351</v>
      </c>
    </row>
    <row r="98" spans="1:13" x14ac:dyDescent="0.25">
      <c r="A98" t="s">
        <v>568</v>
      </c>
      <c r="B98"/>
      <c r="C98" t="s">
        <v>349</v>
      </c>
      <c r="D98"/>
      <c r="E98"/>
      <c r="F98"/>
      <c r="G98">
        <v>388.5</v>
      </c>
      <c r="H98" t="s">
        <v>523</v>
      </c>
      <c r="I98" t="s">
        <v>384</v>
      </c>
      <c r="J98" s="29" t="s">
        <v>1096</v>
      </c>
      <c r="K98" t="s">
        <v>715</v>
      </c>
      <c r="L98" t="s">
        <v>716</v>
      </c>
      <c r="M98" t="s">
        <v>351</v>
      </c>
    </row>
    <row r="99" spans="1:13" x14ac:dyDescent="0.25">
      <c r="A99" t="s">
        <v>357</v>
      </c>
      <c r="B99" t="s">
        <v>979</v>
      </c>
      <c r="C99" t="s">
        <v>349</v>
      </c>
      <c r="D99"/>
      <c r="E99"/>
      <c r="F99"/>
      <c r="G99">
        <v>177</v>
      </c>
      <c r="H99" t="s">
        <v>980</v>
      </c>
      <c r="I99" t="s">
        <v>652</v>
      </c>
      <c r="J99" s="29" t="s">
        <v>1097</v>
      </c>
      <c r="K99" t="s">
        <v>981</v>
      </c>
      <c r="L99" t="s">
        <v>657</v>
      </c>
      <c r="M99" t="s">
        <v>351</v>
      </c>
    </row>
    <row r="100" spans="1:13" x14ac:dyDescent="0.25">
      <c r="A100" t="s">
        <v>554</v>
      </c>
      <c r="B100"/>
      <c r="C100" t="s">
        <v>349</v>
      </c>
      <c r="D100"/>
      <c r="E100"/>
      <c r="F100" t="s">
        <v>504</v>
      </c>
      <c r="G100">
        <v>0.1</v>
      </c>
      <c r="H100" t="s">
        <v>356</v>
      </c>
      <c r="I100" t="s">
        <v>682</v>
      </c>
      <c r="J100" s="29" t="s">
        <v>1098</v>
      </c>
      <c r="K100" t="s">
        <v>683</v>
      </c>
      <c r="L100" t="s">
        <v>684</v>
      </c>
      <c r="M100" t="s">
        <v>351</v>
      </c>
    </row>
    <row r="101" spans="1:13" x14ac:dyDescent="0.25">
      <c r="A101" t="s">
        <v>373</v>
      </c>
      <c r="B101" t="s">
        <v>372</v>
      </c>
      <c r="C101" t="s">
        <v>349</v>
      </c>
      <c r="D101"/>
      <c r="E101"/>
      <c r="F101" t="s">
        <v>708</v>
      </c>
      <c r="G101">
        <v>0.2</v>
      </c>
      <c r="H101" t="s">
        <v>356</v>
      </c>
      <c r="I101" t="s">
        <v>682</v>
      </c>
      <c r="J101" s="29" t="s">
        <v>1098</v>
      </c>
      <c r="K101" t="s">
        <v>683</v>
      </c>
      <c r="L101" t="s">
        <v>684</v>
      </c>
      <c r="M101" t="s">
        <v>351</v>
      </c>
    </row>
    <row r="102" spans="1:13" x14ac:dyDescent="0.25">
      <c r="A102" t="s">
        <v>438</v>
      </c>
      <c r="B102" t="s">
        <v>439</v>
      </c>
      <c r="C102" t="s">
        <v>349</v>
      </c>
      <c r="D102"/>
      <c r="E102"/>
      <c r="F102"/>
      <c r="G102">
        <v>0.3</v>
      </c>
      <c r="H102" t="s">
        <v>356</v>
      </c>
      <c r="I102" t="s">
        <v>682</v>
      </c>
      <c r="J102" s="29" t="s">
        <v>1098</v>
      </c>
      <c r="K102" t="s">
        <v>683</v>
      </c>
      <c r="L102" t="s">
        <v>684</v>
      </c>
      <c r="M102" t="s">
        <v>351</v>
      </c>
    </row>
    <row r="103" spans="1:13" x14ac:dyDescent="0.25">
      <c r="A103" t="s">
        <v>347</v>
      </c>
      <c r="B103" t="s">
        <v>747</v>
      </c>
      <c r="C103" t="s">
        <v>349</v>
      </c>
      <c r="D103"/>
      <c r="E103"/>
      <c r="F103"/>
      <c r="G103">
        <v>0.6</v>
      </c>
      <c r="H103" t="s">
        <v>356</v>
      </c>
      <c r="I103" t="s">
        <v>682</v>
      </c>
      <c r="J103" s="29" t="s">
        <v>1098</v>
      </c>
      <c r="K103" t="s">
        <v>683</v>
      </c>
      <c r="L103" t="s">
        <v>684</v>
      </c>
      <c r="M103" t="s">
        <v>351</v>
      </c>
    </row>
    <row r="104" spans="1:13" x14ac:dyDescent="0.25">
      <c r="A104" t="s">
        <v>413</v>
      </c>
      <c r="B104"/>
      <c r="C104" t="s">
        <v>349</v>
      </c>
      <c r="D104"/>
      <c r="E104"/>
      <c r="F104" t="s">
        <v>418</v>
      </c>
      <c r="G104">
        <v>0.8</v>
      </c>
      <c r="H104" t="s">
        <v>367</v>
      </c>
      <c r="I104" t="s">
        <v>682</v>
      </c>
      <c r="J104" s="29" t="s">
        <v>1098</v>
      </c>
      <c r="K104" t="s">
        <v>683</v>
      </c>
      <c r="L104" t="s">
        <v>684</v>
      </c>
      <c r="M104" t="s">
        <v>351</v>
      </c>
    </row>
    <row r="105" spans="1:13" x14ac:dyDescent="0.25">
      <c r="A105" t="s">
        <v>373</v>
      </c>
      <c r="B105" t="s">
        <v>471</v>
      </c>
      <c r="C105" t="s">
        <v>349</v>
      </c>
      <c r="D105"/>
      <c r="E105"/>
      <c r="F105" t="s">
        <v>415</v>
      </c>
      <c r="G105">
        <v>0.8</v>
      </c>
      <c r="H105" t="s">
        <v>356</v>
      </c>
      <c r="I105" t="s">
        <v>682</v>
      </c>
      <c r="J105" s="29" t="s">
        <v>1098</v>
      </c>
      <c r="K105" t="s">
        <v>683</v>
      </c>
      <c r="L105" t="s">
        <v>684</v>
      </c>
      <c r="M105" t="s">
        <v>351</v>
      </c>
    </row>
    <row r="106" spans="1:13" x14ac:dyDescent="0.25">
      <c r="A106" t="s">
        <v>373</v>
      </c>
      <c r="B106" t="s">
        <v>429</v>
      </c>
      <c r="C106" t="s">
        <v>349</v>
      </c>
      <c r="D106"/>
      <c r="E106"/>
      <c r="F106" t="s">
        <v>752</v>
      </c>
      <c r="G106">
        <v>0.8</v>
      </c>
      <c r="H106" t="s">
        <v>356</v>
      </c>
      <c r="I106" t="s">
        <v>682</v>
      </c>
      <c r="J106" s="29" t="s">
        <v>1098</v>
      </c>
      <c r="K106" t="s">
        <v>683</v>
      </c>
      <c r="L106" t="s">
        <v>684</v>
      </c>
      <c r="M106" t="s">
        <v>351</v>
      </c>
    </row>
    <row r="107" spans="1:13" x14ac:dyDescent="0.25">
      <c r="A107" t="s">
        <v>483</v>
      </c>
      <c r="B107"/>
      <c r="C107" t="s">
        <v>349</v>
      </c>
      <c r="D107"/>
      <c r="E107"/>
      <c r="F107" t="s">
        <v>473</v>
      </c>
      <c r="G107">
        <v>1.2</v>
      </c>
      <c r="H107" t="s">
        <v>364</v>
      </c>
      <c r="I107" t="s">
        <v>682</v>
      </c>
      <c r="J107" s="29" t="s">
        <v>1098</v>
      </c>
      <c r="K107" t="s">
        <v>683</v>
      </c>
      <c r="L107" t="s">
        <v>684</v>
      </c>
      <c r="M107" t="s">
        <v>351</v>
      </c>
    </row>
    <row r="108" spans="1:13" x14ac:dyDescent="0.25">
      <c r="A108" t="s">
        <v>483</v>
      </c>
      <c r="B108"/>
      <c r="C108" t="s">
        <v>349</v>
      </c>
      <c r="D108"/>
      <c r="E108"/>
      <c r="F108" t="s">
        <v>785</v>
      </c>
      <c r="G108">
        <v>1.3</v>
      </c>
      <c r="H108" t="s">
        <v>356</v>
      </c>
      <c r="I108" t="s">
        <v>682</v>
      </c>
      <c r="J108" s="29" t="s">
        <v>1098</v>
      </c>
      <c r="K108" t="s">
        <v>683</v>
      </c>
      <c r="L108" t="s">
        <v>684</v>
      </c>
      <c r="M108" t="s">
        <v>351</v>
      </c>
    </row>
    <row r="109" spans="1:13" x14ac:dyDescent="0.25">
      <c r="A109" t="s">
        <v>373</v>
      </c>
      <c r="B109" t="s">
        <v>440</v>
      </c>
      <c r="C109" t="s">
        <v>349</v>
      </c>
      <c r="D109"/>
      <c r="E109"/>
      <c r="F109" t="s">
        <v>441</v>
      </c>
      <c r="G109">
        <v>1.5</v>
      </c>
      <c r="H109" t="s">
        <v>367</v>
      </c>
      <c r="I109" t="s">
        <v>682</v>
      </c>
      <c r="J109" s="29" t="s">
        <v>1098</v>
      </c>
      <c r="K109" t="s">
        <v>683</v>
      </c>
      <c r="L109" t="s">
        <v>684</v>
      </c>
      <c r="M109" t="s">
        <v>351</v>
      </c>
    </row>
    <row r="110" spans="1:13" x14ac:dyDescent="0.25">
      <c r="A110" t="s">
        <v>453</v>
      </c>
      <c r="B110" t="s">
        <v>526</v>
      </c>
      <c r="C110" t="s">
        <v>349</v>
      </c>
      <c r="D110"/>
      <c r="E110"/>
      <c r="F110"/>
      <c r="G110">
        <v>1.6</v>
      </c>
      <c r="H110" t="s">
        <v>356</v>
      </c>
      <c r="I110" t="s">
        <v>682</v>
      </c>
      <c r="J110" s="29" t="s">
        <v>1098</v>
      </c>
      <c r="K110" t="s">
        <v>683</v>
      </c>
      <c r="L110" t="s">
        <v>684</v>
      </c>
      <c r="M110" t="s">
        <v>351</v>
      </c>
    </row>
    <row r="111" spans="1:13" x14ac:dyDescent="0.25">
      <c r="A111" t="s">
        <v>432</v>
      </c>
      <c r="B111"/>
      <c r="C111" t="s">
        <v>349</v>
      </c>
      <c r="D111"/>
      <c r="E111"/>
      <c r="F111"/>
      <c r="G111">
        <v>1.6</v>
      </c>
      <c r="H111" t="s">
        <v>356</v>
      </c>
      <c r="I111" t="s">
        <v>682</v>
      </c>
      <c r="J111" s="29" t="s">
        <v>1098</v>
      </c>
      <c r="K111" t="s">
        <v>683</v>
      </c>
      <c r="L111" t="s">
        <v>684</v>
      </c>
      <c r="M111" t="s">
        <v>351</v>
      </c>
    </row>
    <row r="112" spans="1:13" x14ac:dyDescent="0.25">
      <c r="A112" t="s">
        <v>420</v>
      </c>
      <c r="B112"/>
      <c r="C112" t="s">
        <v>349</v>
      </c>
      <c r="D112"/>
      <c r="E112"/>
      <c r="F112" t="s">
        <v>451</v>
      </c>
      <c r="G112">
        <v>2</v>
      </c>
      <c r="H112" t="s">
        <v>364</v>
      </c>
      <c r="I112" t="s">
        <v>682</v>
      </c>
      <c r="J112" s="29" t="s">
        <v>1098</v>
      </c>
      <c r="K112" t="s">
        <v>683</v>
      </c>
      <c r="L112" t="s">
        <v>684</v>
      </c>
      <c r="M112" t="s">
        <v>351</v>
      </c>
    </row>
    <row r="113" spans="1:13" x14ac:dyDescent="0.25">
      <c r="A113" t="s">
        <v>447</v>
      </c>
      <c r="B113"/>
      <c r="C113" t="s">
        <v>349</v>
      </c>
      <c r="D113"/>
      <c r="E113"/>
      <c r="F113" t="s">
        <v>443</v>
      </c>
      <c r="G113">
        <v>2.4</v>
      </c>
      <c r="H113" t="s">
        <v>356</v>
      </c>
      <c r="I113" t="s">
        <v>682</v>
      </c>
      <c r="J113" s="29" t="s">
        <v>1098</v>
      </c>
      <c r="K113" t="s">
        <v>683</v>
      </c>
      <c r="L113" t="s">
        <v>684</v>
      </c>
      <c r="M113" t="s">
        <v>351</v>
      </c>
    </row>
    <row r="114" spans="1:13" x14ac:dyDescent="0.25">
      <c r="A114" t="s">
        <v>390</v>
      </c>
      <c r="B114"/>
      <c r="C114" t="s">
        <v>349</v>
      </c>
      <c r="D114"/>
      <c r="E114"/>
      <c r="F114"/>
      <c r="G114">
        <v>2.5</v>
      </c>
      <c r="H114" t="s">
        <v>356</v>
      </c>
      <c r="I114" t="s">
        <v>682</v>
      </c>
      <c r="J114" s="29" t="s">
        <v>1098</v>
      </c>
      <c r="K114" t="s">
        <v>683</v>
      </c>
      <c r="L114" t="s">
        <v>684</v>
      </c>
      <c r="M114" t="s">
        <v>351</v>
      </c>
    </row>
    <row r="115" spans="1:13" x14ac:dyDescent="0.25">
      <c r="A115" t="s">
        <v>373</v>
      </c>
      <c r="B115" t="s">
        <v>507</v>
      </c>
      <c r="C115" t="s">
        <v>349</v>
      </c>
      <c r="D115"/>
      <c r="E115"/>
      <c r="F115" t="s">
        <v>428</v>
      </c>
      <c r="G115">
        <v>4.3</v>
      </c>
      <c r="H115" t="s">
        <v>368</v>
      </c>
      <c r="I115" t="s">
        <v>682</v>
      </c>
      <c r="J115" s="29" t="s">
        <v>1098</v>
      </c>
      <c r="K115" t="s">
        <v>683</v>
      </c>
      <c r="L115" t="s">
        <v>684</v>
      </c>
      <c r="M115" t="s">
        <v>351</v>
      </c>
    </row>
    <row r="116" spans="1:13" x14ac:dyDescent="0.25">
      <c r="A116" t="s">
        <v>484</v>
      </c>
      <c r="B116"/>
      <c r="C116" t="s">
        <v>349</v>
      </c>
      <c r="D116"/>
      <c r="E116"/>
      <c r="F116" t="s">
        <v>464</v>
      </c>
      <c r="G116">
        <v>4.4000000000000004</v>
      </c>
      <c r="H116" t="s">
        <v>356</v>
      </c>
      <c r="I116" t="s">
        <v>682</v>
      </c>
      <c r="J116" s="29" t="s">
        <v>1098</v>
      </c>
      <c r="K116" t="s">
        <v>683</v>
      </c>
      <c r="L116" t="s">
        <v>684</v>
      </c>
      <c r="M116" t="s">
        <v>351</v>
      </c>
    </row>
    <row r="117" spans="1:13" x14ac:dyDescent="0.25">
      <c r="A117" t="s">
        <v>420</v>
      </c>
      <c r="B117"/>
      <c r="C117" t="s">
        <v>349</v>
      </c>
      <c r="D117"/>
      <c r="E117"/>
      <c r="F117" t="s">
        <v>380</v>
      </c>
      <c r="G117">
        <v>8.6999999999999993</v>
      </c>
      <c r="H117" t="s">
        <v>364</v>
      </c>
      <c r="I117" t="s">
        <v>682</v>
      </c>
      <c r="J117" s="29" t="s">
        <v>1098</v>
      </c>
      <c r="K117" t="s">
        <v>683</v>
      </c>
      <c r="L117" t="s">
        <v>684</v>
      </c>
      <c r="M117" t="s">
        <v>351</v>
      </c>
    </row>
    <row r="118" spans="1:13" x14ac:dyDescent="0.25">
      <c r="A118" t="s">
        <v>355</v>
      </c>
      <c r="B118"/>
      <c r="C118" t="s">
        <v>349</v>
      </c>
      <c r="D118"/>
      <c r="E118"/>
      <c r="F118"/>
      <c r="G118">
        <v>17.3</v>
      </c>
      <c r="H118" t="s">
        <v>368</v>
      </c>
      <c r="I118" t="s">
        <v>682</v>
      </c>
      <c r="J118" s="29" t="s">
        <v>1098</v>
      </c>
      <c r="K118" t="s">
        <v>683</v>
      </c>
      <c r="L118" t="s">
        <v>684</v>
      </c>
      <c r="M118" t="s">
        <v>351</v>
      </c>
    </row>
    <row r="119" spans="1:13" x14ac:dyDescent="0.25">
      <c r="A119" t="s">
        <v>484</v>
      </c>
      <c r="B119"/>
      <c r="C119" t="s">
        <v>349</v>
      </c>
      <c r="D119"/>
      <c r="E119"/>
      <c r="F119" t="s">
        <v>473</v>
      </c>
      <c r="G119">
        <v>24.7</v>
      </c>
      <c r="H119" t="s">
        <v>356</v>
      </c>
      <c r="I119" t="s">
        <v>682</v>
      </c>
      <c r="J119" s="29" t="s">
        <v>1098</v>
      </c>
      <c r="K119" t="s">
        <v>683</v>
      </c>
      <c r="L119" t="s">
        <v>684</v>
      </c>
      <c r="M119" t="s">
        <v>351</v>
      </c>
    </row>
    <row r="120" spans="1:13" x14ac:dyDescent="0.25">
      <c r="A120" t="s">
        <v>472</v>
      </c>
      <c r="B120"/>
      <c r="C120" t="s">
        <v>349</v>
      </c>
      <c r="D120"/>
      <c r="E120"/>
      <c r="F120" t="s">
        <v>555</v>
      </c>
      <c r="G120">
        <v>30.2</v>
      </c>
      <c r="H120" t="s">
        <v>404</v>
      </c>
      <c r="I120" t="s">
        <v>682</v>
      </c>
      <c r="J120" s="29" t="s">
        <v>1098</v>
      </c>
      <c r="K120" t="s">
        <v>683</v>
      </c>
      <c r="L120" t="s">
        <v>684</v>
      </c>
      <c r="M120" t="s">
        <v>351</v>
      </c>
    </row>
    <row r="121" spans="1:13" x14ac:dyDescent="0.25">
      <c r="A121" t="s">
        <v>534</v>
      </c>
      <c r="B121" t="s">
        <v>449</v>
      </c>
      <c r="C121" t="s">
        <v>349</v>
      </c>
      <c r="D121"/>
      <c r="E121"/>
      <c r="F121"/>
      <c r="G121">
        <v>31</v>
      </c>
      <c r="H121" t="s">
        <v>356</v>
      </c>
      <c r="I121" t="s">
        <v>682</v>
      </c>
      <c r="J121" s="29" t="s">
        <v>1098</v>
      </c>
      <c r="K121" t="s">
        <v>683</v>
      </c>
      <c r="L121" t="s">
        <v>684</v>
      </c>
      <c r="M121" t="s">
        <v>351</v>
      </c>
    </row>
    <row r="122" spans="1:13" x14ac:dyDescent="0.25">
      <c r="A122" t="s">
        <v>546</v>
      </c>
      <c r="B122"/>
      <c r="C122" t="s">
        <v>349</v>
      </c>
      <c r="D122"/>
      <c r="E122"/>
      <c r="F122"/>
      <c r="G122">
        <v>32.4</v>
      </c>
      <c r="H122" t="s">
        <v>393</v>
      </c>
      <c r="I122" t="s">
        <v>682</v>
      </c>
      <c r="J122" s="29" t="s">
        <v>1098</v>
      </c>
      <c r="K122" t="s">
        <v>683</v>
      </c>
      <c r="L122" t="s">
        <v>684</v>
      </c>
      <c r="M122" t="s">
        <v>351</v>
      </c>
    </row>
    <row r="123" spans="1:13" x14ac:dyDescent="0.25">
      <c r="A123" t="s">
        <v>568</v>
      </c>
      <c r="B123"/>
      <c r="C123" t="s">
        <v>349</v>
      </c>
      <c r="D123"/>
      <c r="E123"/>
      <c r="F123"/>
      <c r="G123">
        <v>78.099999999999994</v>
      </c>
      <c r="H123" t="s">
        <v>367</v>
      </c>
      <c r="I123" t="s">
        <v>682</v>
      </c>
      <c r="J123" s="29" t="s">
        <v>1098</v>
      </c>
      <c r="K123" t="s">
        <v>683</v>
      </c>
      <c r="L123" t="s">
        <v>684</v>
      </c>
      <c r="M123" t="s">
        <v>351</v>
      </c>
    </row>
    <row r="124" spans="1:13" x14ac:dyDescent="0.25">
      <c r="A124" t="s">
        <v>432</v>
      </c>
      <c r="B124"/>
      <c r="C124" t="s">
        <v>349</v>
      </c>
      <c r="D124"/>
      <c r="E124"/>
      <c r="F124"/>
      <c r="G124">
        <v>88.2</v>
      </c>
      <c r="H124" t="s">
        <v>405</v>
      </c>
      <c r="I124" t="s">
        <v>682</v>
      </c>
      <c r="J124" s="29" t="s">
        <v>1098</v>
      </c>
      <c r="K124" t="s">
        <v>683</v>
      </c>
      <c r="L124" t="s">
        <v>684</v>
      </c>
      <c r="M124" t="s">
        <v>351</v>
      </c>
    </row>
    <row r="125" spans="1:13" x14ac:dyDescent="0.25">
      <c r="A125" t="s">
        <v>420</v>
      </c>
      <c r="B125"/>
      <c r="C125" t="s">
        <v>349</v>
      </c>
      <c r="D125"/>
      <c r="E125"/>
      <c r="F125" t="s">
        <v>545</v>
      </c>
      <c r="G125">
        <v>496</v>
      </c>
      <c r="H125" t="s">
        <v>1003</v>
      </c>
      <c r="I125" t="s">
        <v>652</v>
      </c>
      <c r="J125" s="29" t="s">
        <v>1099</v>
      </c>
      <c r="K125" t="s">
        <v>1006</v>
      </c>
      <c r="L125" t="s">
        <v>681</v>
      </c>
      <c r="M125" t="s">
        <v>351</v>
      </c>
    </row>
    <row r="126" spans="1:13" x14ac:dyDescent="0.25">
      <c r="A126" t="s">
        <v>468</v>
      </c>
      <c r="B126"/>
      <c r="C126" t="s">
        <v>349</v>
      </c>
      <c r="D126"/>
      <c r="E126"/>
      <c r="F126" t="s">
        <v>437</v>
      </c>
      <c r="G126">
        <v>0.1</v>
      </c>
      <c r="H126" t="s">
        <v>356</v>
      </c>
      <c r="I126" t="s">
        <v>384</v>
      </c>
      <c r="J126" s="29" t="s">
        <v>1100</v>
      </c>
      <c r="K126" t="s">
        <v>673</v>
      </c>
      <c r="L126" t="s">
        <v>674</v>
      </c>
      <c r="M126" t="s">
        <v>351</v>
      </c>
    </row>
    <row r="127" spans="1:13" x14ac:dyDescent="0.25">
      <c r="A127" t="s">
        <v>438</v>
      </c>
      <c r="B127" t="s">
        <v>439</v>
      </c>
      <c r="C127" t="s">
        <v>349</v>
      </c>
      <c r="D127"/>
      <c r="E127"/>
      <c r="F127"/>
      <c r="G127">
        <v>0.3</v>
      </c>
      <c r="H127" t="s">
        <v>356</v>
      </c>
      <c r="I127" t="s">
        <v>384</v>
      </c>
      <c r="J127" s="29" t="s">
        <v>1100</v>
      </c>
      <c r="K127" t="s">
        <v>673</v>
      </c>
      <c r="L127" t="s">
        <v>674</v>
      </c>
      <c r="M127" t="s">
        <v>351</v>
      </c>
    </row>
    <row r="128" spans="1:13" x14ac:dyDescent="0.25">
      <c r="A128" t="s">
        <v>435</v>
      </c>
      <c r="B128" t="s">
        <v>726</v>
      </c>
      <c r="C128" t="s">
        <v>349</v>
      </c>
      <c r="D128"/>
      <c r="E128"/>
      <c r="F128"/>
      <c r="G128">
        <v>0.3</v>
      </c>
      <c r="H128" t="s">
        <v>356</v>
      </c>
      <c r="I128" t="s">
        <v>384</v>
      </c>
      <c r="J128" s="29" t="s">
        <v>1100</v>
      </c>
      <c r="K128" t="s">
        <v>673</v>
      </c>
      <c r="L128" t="s">
        <v>674</v>
      </c>
      <c r="M128" t="s">
        <v>351</v>
      </c>
    </row>
    <row r="129" spans="1:13" x14ac:dyDescent="0.25">
      <c r="A129" t="s">
        <v>468</v>
      </c>
      <c r="B129"/>
      <c r="C129" t="s">
        <v>349</v>
      </c>
      <c r="D129"/>
      <c r="E129"/>
      <c r="F129" t="s">
        <v>457</v>
      </c>
      <c r="G129">
        <v>0.8</v>
      </c>
      <c r="H129" t="s">
        <v>364</v>
      </c>
      <c r="I129" t="s">
        <v>384</v>
      </c>
      <c r="J129" s="29" t="s">
        <v>1100</v>
      </c>
      <c r="K129" t="s">
        <v>673</v>
      </c>
      <c r="L129" t="s">
        <v>674</v>
      </c>
      <c r="M129" t="s">
        <v>351</v>
      </c>
    </row>
    <row r="130" spans="1:13" x14ac:dyDescent="0.25">
      <c r="A130" t="s">
        <v>371</v>
      </c>
      <c r="B130" t="s">
        <v>476</v>
      </c>
      <c r="C130" t="s">
        <v>349</v>
      </c>
      <c r="D130"/>
      <c r="E130"/>
      <c r="F130" t="s">
        <v>477</v>
      </c>
      <c r="G130">
        <v>0.9</v>
      </c>
      <c r="H130" t="s">
        <v>356</v>
      </c>
      <c r="I130" t="s">
        <v>384</v>
      </c>
      <c r="J130" s="29" t="s">
        <v>1100</v>
      </c>
      <c r="K130" t="s">
        <v>673</v>
      </c>
      <c r="L130" t="s">
        <v>674</v>
      </c>
      <c r="M130" t="s">
        <v>351</v>
      </c>
    </row>
    <row r="131" spans="1:13" x14ac:dyDescent="0.25">
      <c r="A131" t="s">
        <v>413</v>
      </c>
      <c r="B131"/>
      <c r="C131" t="s">
        <v>349</v>
      </c>
      <c r="D131"/>
      <c r="E131"/>
      <c r="F131" t="s">
        <v>418</v>
      </c>
      <c r="G131">
        <v>1.2</v>
      </c>
      <c r="H131" t="s">
        <v>368</v>
      </c>
      <c r="I131" t="s">
        <v>384</v>
      </c>
      <c r="J131" s="29" t="s">
        <v>1100</v>
      </c>
      <c r="K131" t="s">
        <v>673</v>
      </c>
      <c r="L131" t="s">
        <v>674</v>
      </c>
      <c r="M131" t="s">
        <v>351</v>
      </c>
    </row>
    <row r="132" spans="1:13" x14ac:dyDescent="0.25">
      <c r="A132" t="s">
        <v>453</v>
      </c>
      <c r="B132" t="s">
        <v>526</v>
      </c>
      <c r="C132" t="s">
        <v>349</v>
      </c>
      <c r="D132"/>
      <c r="E132"/>
      <c r="F132"/>
      <c r="G132">
        <v>1.4</v>
      </c>
      <c r="H132" t="s">
        <v>356</v>
      </c>
      <c r="I132" t="s">
        <v>384</v>
      </c>
      <c r="J132" s="29" t="s">
        <v>1100</v>
      </c>
      <c r="K132" t="s">
        <v>673</v>
      </c>
      <c r="L132" t="s">
        <v>674</v>
      </c>
      <c r="M132" t="s">
        <v>351</v>
      </c>
    </row>
    <row r="133" spans="1:13" x14ac:dyDescent="0.25">
      <c r="A133" t="s">
        <v>483</v>
      </c>
      <c r="B133"/>
      <c r="C133" t="s">
        <v>349</v>
      </c>
      <c r="D133"/>
      <c r="E133"/>
      <c r="F133" t="s">
        <v>473</v>
      </c>
      <c r="G133">
        <v>1.8</v>
      </c>
      <c r="H133" t="s">
        <v>364</v>
      </c>
      <c r="I133" t="s">
        <v>384</v>
      </c>
      <c r="J133" s="29" t="s">
        <v>1100</v>
      </c>
      <c r="K133" t="s">
        <v>673</v>
      </c>
      <c r="L133" t="s">
        <v>674</v>
      </c>
      <c r="M133" t="s">
        <v>351</v>
      </c>
    </row>
    <row r="134" spans="1:13" x14ac:dyDescent="0.25">
      <c r="A134" t="s">
        <v>462</v>
      </c>
      <c r="B134" t="s">
        <v>547</v>
      </c>
      <c r="C134" t="s">
        <v>349</v>
      </c>
      <c r="D134"/>
      <c r="E134"/>
      <c r="F134"/>
      <c r="G134">
        <v>4.3</v>
      </c>
      <c r="H134" t="s">
        <v>356</v>
      </c>
      <c r="I134" t="s">
        <v>384</v>
      </c>
      <c r="J134" s="29" t="s">
        <v>1100</v>
      </c>
      <c r="K134" t="s">
        <v>673</v>
      </c>
      <c r="L134" t="s">
        <v>674</v>
      </c>
      <c r="M134" t="s">
        <v>351</v>
      </c>
    </row>
    <row r="135" spans="1:13" x14ac:dyDescent="0.25">
      <c r="A135" t="s">
        <v>484</v>
      </c>
      <c r="B135"/>
      <c r="C135" t="s">
        <v>349</v>
      </c>
      <c r="D135"/>
      <c r="E135"/>
      <c r="F135" t="s">
        <v>464</v>
      </c>
      <c r="G135">
        <v>4.4000000000000004</v>
      </c>
      <c r="H135" t="s">
        <v>356</v>
      </c>
      <c r="I135" t="s">
        <v>384</v>
      </c>
      <c r="J135" s="29" t="s">
        <v>1100</v>
      </c>
      <c r="K135" t="s">
        <v>673</v>
      </c>
      <c r="L135" t="s">
        <v>674</v>
      </c>
      <c r="M135" t="s">
        <v>351</v>
      </c>
    </row>
    <row r="136" spans="1:13" x14ac:dyDescent="0.25">
      <c r="A136" t="s">
        <v>469</v>
      </c>
      <c r="B136" t="s">
        <v>543</v>
      </c>
      <c r="C136" t="s">
        <v>349</v>
      </c>
      <c r="D136"/>
      <c r="E136"/>
      <c r="F136"/>
      <c r="G136">
        <v>6.8</v>
      </c>
      <c r="H136" t="s">
        <v>356</v>
      </c>
      <c r="I136" t="s">
        <v>384</v>
      </c>
      <c r="J136" s="29" t="s">
        <v>1100</v>
      </c>
      <c r="K136" t="s">
        <v>673</v>
      </c>
      <c r="L136" t="s">
        <v>674</v>
      </c>
      <c r="M136" t="s">
        <v>351</v>
      </c>
    </row>
    <row r="137" spans="1:13" x14ac:dyDescent="0.25">
      <c r="A137" t="s">
        <v>444</v>
      </c>
      <c r="B137"/>
      <c r="C137" t="s">
        <v>349</v>
      </c>
      <c r="D137"/>
      <c r="E137"/>
      <c r="F137" t="s">
        <v>441</v>
      </c>
      <c r="G137">
        <v>7.1</v>
      </c>
      <c r="H137" t="s">
        <v>364</v>
      </c>
      <c r="I137" t="s">
        <v>384</v>
      </c>
      <c r="J137" s="29" t="s">
        <v>1100</v>
      </c>
      <c r="K137" t="s">
        <v>673</v>
      </c>
      <c r="L137" t="s">
        <v>674</v>
      </c>
      <c r="M137" t="s">
        <v>351</v>
      </c>
    </row>
    <row r="138" spans="1:13" x14ac:dyDescent="0.25">
      <c r="A138" t="s">
        <v>572</v>
      </c>
      <c r="B138" t="s">
        <v>578</v>
      </c>
      <c r="C138" t="s">
        <v>349</v>
      </c>
      <c r="D138"/>
      <c r="E138"/>
      <c r="F138"/>
      <c r="G138">
        <v>10.5</v>
      </c>
      <c r="H138" t="s">
        <v>356</v>
      </c>
      <c r="I138" t="s">
        <v>384</v>
      </c>
      <c r="J138" s="29" t="s">
        <v>1100</v>
      </c>
      <c r="K138" t="s">
        <v>673</v>
      </c>
      <c r="L138" t="s">
        <v>674</v>
      </c>
      <c r="M138" t="s">
        <v>351</v>
      </c>
    </row>
    <row r="139" spans="1:13" x14ac:dyDescent="0.25">
      <c r="A139" t="s">
        <v>357</v>
      </c>
      <c r="B139" t="s">
        <v>603</v>
      </c>
      <c r="C139" t="s">
        <v>349</v>
      </c>
      <c r="D139"/>
      <c r="E139"/>
      <c r="F139"/>
      <c r="G139">
        <v>14.5</v>
      </c>
      <c r="H139" t="s">
        <v>364</v>
      </c>
      <c r="I139" t="s">
        <v>384</v>
      </c>
      <c r="J139" s="29" t="s">
        <v>1100</v>
      </c>
      <c r="K139" t="s">
        <v>673</v>
      </c>
      <c r="L139" t="s">
        <v>674</v>
      </c>
      <c r="M139" t="s">
        <v>351</v>
      </c>
    </row>
    <row r="140" spans="1:13" x14ac:dyDescent="0.25">
      <c r="A140" t="s">
        <v>453</v>
      </c>
      <c r="B140" t="s">
        <v>590</v>
      </c>
      <c r="C140" t="s">
        <v>349</v>
      </c>
      <c r="D140"/>
      <c r="E140"/>
      <c r="F140"/>
      <c r="G140">
        <v>16.8</v>
      </c>
      <c r="H140" t="s">
        <v>356</v>
      </c>
      <c r="I140" t="s">
        <v>384</v>
      </c>
      <c r="J140" s="29" t="s">
        <v>1100</v>
      </c>
      <c r="K140" t="s">
        <v>673</v>
      </c>
      <c r="L140" t="s">
        <v>674</v>
      </c>
      <c r="M140" t="s">
        <v>351</v>
      </c>
    </row>
    <row r="141" spans="1:13" x14ac:dyDescent="0.25">
      <c r="A141" t="s">
        <v>432</v>
      </c>
      <c r="B141"/>
      <c r="C141" t="s">
        <v>349</v>
      </c>
      <c r="D141"/>
      <c r="E141"/>
      <c r="F141"/>
      <c r="G141">
        <v>18.100000000000001</v>
      </c>
      <c r="H141" t="s">
        <v>367</v>
      </c>
      <c r="I141" t="s">
        <v>384</v>
      </c>
      <c r="J141" s="29" t="s">
        <v>1100</v>
      </c>
      <c r="K141" t="s">
        <v>673</v>
      </c>
      <c r="L141" t="s">
        <v>674</v>
      </c>
      <c r="M141" t="s">
        <v>351</v>
      </c>
    </row>
    <row r="142" spans="1:13" x14ac:dyDescent="0.25">
      <c r="A142" t="s">
        <v>484</v>
      </c>
      <c r="B142"/>
      <c r="C142" t="s">
        <v>349</v>
      </c>
      <c r="D142"/>
      <c r="E142"/>
      <c r="F142" t="s">
        <v>473</v>
      </c>
      <c r="G142">
        <v>24.7</v>
      </c>
      <c r="H142" t="s">
        <v>356</v>
      </c>
      <c r="I142" t="s">
        <v>384</v>
      </c>
      <c r="J142" s="29" t="s">
        <v>1100</v>
      </c>
      <c r="K142" t="s">
        <v>673</v>
      </c>
      <c r="L142" t="s">
        <v>674</v>
      </c>
      <c r="M142" t="s">
        <v>351</v>
      </c>
    </row>
    <row r="143" spans="1:13" x14ac:dyDescent="0.25">
      <c r="A143" t="s">
        <v>462</v>
      </c>
      <c r="B143" t="s">
        <v>449</v>
      </c>
      <c r="C143" t="s">
        <v>349</v>
      </c>
      <c r="D143"/>
      <c r="E143"/>
      <c r="F143"/>
      <c r="G143">
        <v>33.299999999999997</v>
      </c>
      <c r="H143" t="s">
        <v>356</v>
      </c>
      <c r="I143" t="s">
        <v>384</v>
      </c>
      <c r="J143" s="29" t="s">
        <v>1100</v>
      </c>
      <c r="K143" t="s">
        <v>673</v>
      </c>
      <c r="L143" t="s">
        <v>674</v>
      </c>
      <c r="M143" t="s">
        <v>351</v>
      </c>
    </row>
    <row r="144" spans="1:13" x14ac:dyDescent="0.25">
      <c r="A144" t="s">
        <v>462</v>
      </c>
      <c r="B144" t="s">
        <v>449</v>
      </c>
      <c r="C144" t="s">
        <v>349</v>
      </c>
      <c r="D144"/>
      <c r="E144"/>
      <c r="F144"/>
      <c r="G144">
        <v>41.4</v>
      </c>
      <c r="H144" t="s">
        <v>356</v>
      </c>
      <c r="I144" t="s">
        <v>384</v>
      </c>
      <c r="J144" s="29" t="s">
        <v>1100</v>
      </c>
      <c r="K144" t="s">
        <v>673</v>
      </c>
      <c r="L144" t="s">
        <v>674</v>
      </c>
      <c r="M144" t="s">
        <v>351</v>
      </c>
    </row>
    <row r="145" spans="1:13" x14ac:dyDescent="0.25">
      <c r="A145" t="s">
        <v>472</v>
      </c>
      <c r="B145"/>
      <c r="C145" t="s">
        <v>349</v>
      </c>
      <c r="D145"/>
      <c r="E145"/>
      <c r="F145" t="s">
        <v>500</v>
      </c>
      <c r="G145">
        <v>67.400000000000006</v>
      </c>
      <c r="H145" t="s">
        <v>368</v>
      </c>
      <c r="I145" t="s">
        <v>384</v>
      </c>
      <c r="J145" s="29" t="s">
        <v>1100</v>
      </c>
      <c r="K145" t="s">
        <v>673</v>
      </c>
      <c r="L145" t="s">
        <v>674</v>
      </c>
      <c r="M145" t="s">
        <v>351</v>
      </c>
    </row>
    <row r="146" spans="1:13" x14ac:dyDescent="0.25">
      <c r="A146" t="s">
        <v>546</v>
      </c>
      <c r="B146"/>
      <c r="C146" t="s">
        <v>349</v>
      </c>
      <c r="D146"/>
      <c r="E146"/>
      <c r="F146"/>
      <c r="G146">
        <v>75.099999999999994</v>
      </c>
      <c r="H146" t="s">
        <v>531</v>
      </c>
      <c r="I146" t="s">
        <v>384</v>
      </c>
      <c r="J146" s="29" t="s">
        <v>1100</v>
      </c>
      <c r="K146" t="s">
        <v>673</v>
      </c>
      <c r="L146" t="s">
        <v>674</v>
      </c>
      <c r="M146" t="s">
        <v>351</v>
      </c>
    </row>
    <row r="147" spans="1:13" x14ac:dyDescent="0.25">
      <c r="A147" t="s">
        <v>432</v>
      </c>
      <c r="B147"/>
      <c r="C147" t="s">
        <v>349</v>
      </c>
      <c r="D147"/>
      <c r="E147"/>
      <c r="F147"/>
      <c r="G147">
        <v>84</v>
      </c>
      <c r="H147" t="s">
        <v>524</v>
      </c>
      <c r="I147" t="s">
        <v>384</v>
      </c>
      <c r="J147" s="29" t="s">
        <v>1100</v>
      </c>
      <c r="K147" t="s">
        <v>673</v>
      </c>
      <c r="L147" t="s">
        <v>674</v>
      </c>
      <c r="M147" t="s">
        <v>351</v>
      </c>
    </row>
    <row r="148" spans="1:13" x14ac:dyDescent="0.25">
      <c r="A148" t="s">
        <v>568</v>
      </c>
      <c r="B148"/>
      <c r="C148" t="s">
        <v>349</v>
      </c>
      <c r="D148"/>
      <c r="E148"/>
      <c r="F148"/>
      <c r="G148">
        <v>210.9</v>
      </c>
      <c r="H148" t="s">
        <v>368</v>
      </c>
      <c r="I148" t="s">
        <v>384</v>
      </c>
      <c r="J148" s="29" t="s">
        <v>1100</v>
      </c>
      <c r="K148" t="s">
        <v>673</v>
      </c>
      <c r="L148" t="s">
        <v>674</v>
      </c>
      <c r="M148" t="s">
        <v>351</v>
      </c>
    </row>
    <row r="149" spans="1:13" x14ac:dyDescent="0.25">
      <c r="A149" t="s">
        <v>409</v>
      </c>
      <c r="B149"/>
      <c r="C149" t="s">
        <v>349</v>
      </c>
      <c r="D149"/>
      <c r="E149"/>
      <c r="F149" t="s">
        <v>451</v>
      </c>
      <c r="G149">
        <v>0.2</v>
      </c>
      <c r="H149" t="s">
        <v>356</v>
      </c>
      <c r="I149" t="s">
        <v>682</v>
      </c>
      <c r="J149" s="29" t="s">
        <v>1101</v>
      </c>
      <c r="K149" t="s">
        <v>422</v>
      </c>
      <c r="L149" t="s">
        <v>709</v>
      </c>
      <c r="M149" t="s">
        <v>351</v>
      </c>
    </row>
    <row r="150" spans="1:13" x14ac:dyDescent="0.25">
      <c r="A150" t="s">
        <v>435</v>
      </c>
      <c r="B150" t="s">
        <v>411</v>
      </c>
      <c r="C150" t="s">
        <v>349</v>
      </c>
      <c r="D150"/>
      <c r="E150"/>
      <c r="F150"/>
      <c r="G150">
        <v>0.3</v>
      </c>
      <c r="H150" t="s">
        <v>356</v>
      </c>
      <c r="I150" t="s">
        <v>682</v>
      </c>
      <c r="J150" s="29" t="s">
        <v>1101</v>
      </c>
      <c r="K150" t="s">
        <v>422</v>
      </c>
      <c r="L150" t="s">
        <v>709</v>
      </c>
      <c r="M150" t="s">
        <v>351</v>
      </c>
    </row>
    <row r="151" spans="1:13" x14ac:dyDescent="0.25">
      <c r="A151" t="s">
        <v>397</v>
      </c>
      <c r="B151"/>
      <c r="C151" t="s">
        <v>349</v>
      </c>
      <c r="D151"/>
      <c r="E151"/>
      <c r="F151" t="s">
        <v>475</v>
      </c>
      <c r="G151">
        <v>0.4</v>
      </c>
      <c r="H151" t="s">
        <v>356</v>
      </c>
      <c r="I151" t="s">
        <v>682</v>
      </c>
      <c r="J151" s="29" t="s">
        <v>1101</v>
      </c>
      <c r="K151" t="s">
        <v>422</v>
      </c>
      <c r="L151" t="s">
        <v>709</v>
      </c>
      <c r="M151" t="s">
        <v>351</v>
      </c>
    </row>
    <row r="152" spans="1:13" x14ac:dyDescent="0.25">
      <c r="A152" t="s">
        <v>397</v>
      </c>
      <c r="B152"/>
      <c r="C152" t="s">
        <v>349</v>
      </c>
      <c r="D152"/>
      <c r="E152"/>
      <c r="F152" t="s">
        <v>751</v>
      </c>
      <c r="G152">
        <v>0.8</v>
      </c>
      <c r="H152" t="s">
        <v>356</v>
      </c>
      <c r="I152" t="s">
        <v>682</v>
      </c>
      <c r="J152" s="29" t="s">
        <v>1101</v>
      </c>
      <c r="K152" t="s">
        <v>422</v>
      </c>
      <c r="L152" t="s">
        <v>709</v>
      </c>
      <c r="M152" t="s">
        <v>351</v>
      </c>
    </row>
    <row r="153" spans="1:13" x14ac:dyDescent="0.25">
      <c r="A153" t="s">
        <v>481</v>
      </c>
      <c r="B153"/>
      <c r="C153" t="s">
        <v>349</v>
      </c>
      <c r="D153"/>
      <c r="E153"/>
      <c r="F153" t="s">
        <v>482</v>
      </c>
      <c r="G153">
        <v>0.9</v>
      </c>
      <c r="H153" t="s">
        <v>356</v>
      </c>
      <c r="I153" t="s">
        <v>682</v>
      </c>
      <c r="J153" s="29" t="s">
        <v>1101</v>
      </c>
      <c r="K153" t="s">
        <v>422</v>
      </c>
      <c r="L153" t="s">
        <v>709</v>
      </c>
      <c r="M153" t="s">
        <v>351</v>
      </c>
    </row>
    <row r="154" spans="1:13" x14ac:dyDescent="0.25">
      <c r="A154" t="s">
        <v>413</v>
      </c>
      <c r="B154"/>
      <c r="C154" t="s">
        <v>349</v>
      </c>
      <c r="D154"/>
      <c r="E154"/>
      <c r="F154" t="s">
        <v>418</v>
      </c>
      <c r="G154">
        <v>1.1000000000000001</v>
      </c>
      <c r="H154" t="s">
        <v>368</v>
      </c>
      <c r="I154" t="s">
        <v>682</v>
      </c>
      <c r="J154" s="29" t="s">
        <v>1101</v>
      </c>
      <c r="K154" t="s">
        <v>422</v>
      </c>
      <c r="L154" t="s">
        <v>709</v>
      </c>
      <c r="M154" t="s">
        <v>351</v>
      </c>
    </row>
    <row r="155" spans="1:13" x14ac:dyDescent="0.25">
      <c r="A155" t="s">
        <v>435</v>
      </c>
      <c r="B155" t="s">
        <v>381</v>
      </c>
      <c r="C155" t="s">
        <v>349</v>
      </c>
      <c r="D155"/>
      <c r="E155"/>
      <c r="F155"/>
      <c r="G155">
        <v>1.1000000000000001</v>
      </c>
      <c r="H155" t="s">
        <v>356</v>
      </c>
      <c r="I155" t="s">
        <v>682</v>
      </c>
      <c r="J155" s="29" t="s">
        <v>1101</v>
      </c>
      <c r="K155" t="s">
        <v>422</v>
      </c>
      <c r="L155" t="s">
        <v>709</v>
      </c>
      <c r="M155" t="s">
        <v>351</v>
      </c>
    </row>
    <row r="156" spans="1:13" x14ac:dyDescent="0.25">
      <c r="A156" t="s">
        <v>371</v>
      </c>
      <c r="B156" t="s">
        <v>786</v>
      </c>
      <c r="C156" t="s">
        <v>349</v>
      </c>
      <c r="D156"/>
      <c r="E156"/>
      <c r="F156" t="s">
        <v>412</v>
      </c>
      <c r="G156">
        <v>1.3</v>
      </c>
      <c r="H156" t="s">
        <v>356</v>
      </c>
      <c r="I156" t="s">
        <v>682</v>
      </c>
      <c r="J156" s="29" t="s">
        <v>1101</v>
      </c>
      <c r="K156" t="s">
        <v>422</v>
      </c>
      <c r="L156" t="s">
        <v>709</v>
      </c>
      <c r="M156" t="s">
        <v>351</v>
      </c>
    </row>
    <row r="157" spans="1:13" x14ac:dyDescent="0.25">
      <c r="A157" t="s">
        <v>468</v>
      </c>
      <c r="B157"/>
      <c r="C157" t="s">
        <v>349</v>
      </c>
      <c r="D157"/>
      <c r="E157"/>
      <c r="F157" t="s">
        <v>428</v>
      </c>
      <c r="G157">
        <v>1.9</v>
      </c>
      <c r="H157" t="s">
        <v>356</v>
      </c>
      <c r="I157" t="s">
        <v>682</v>
      </c>
      <c r="J157" s="29" t="s">
        <v>1101</v>
      </c>
      <c r="K157" t="s">
        <v>422</v>
      </c>
      <c r="L157" t="s">
        <v>709</v>
      </c>
      <c r="M157" t="s">
        <v>351</v>
      </c>
    </row>
    <row r="158" spans="1:13" x14ac:dyDescent="0.25">
      <c r="A158" t="s">
        <v>447</v>
      </c>
      <c r="B158"/>
      <c r="C158" t="s">
        <v>349</v>
      </c>
      <c r="D158"/>
      <c r="E158"/>
      <c r="F158" t="s">
        <v>431</v>
      </c>
      <c r="G158">
        <v>2</v>
      </c>
      <c r="H158" t="s">
        <v>368</v>
      </c>
      <c r="I158" t="s">
        <v>682</v>
      </c>
      <c r="J158" s="29" t="s">
        <v>1101</v>
      </c>
      <c r="K158" t="s">
        <v>422</v>
      </c>
      <c r="L158" t="s">
        <v>709</v>
      </c>
      <c r="M158" t="s">
        <v>351</v>
      </c>
    </row>
    <row r="159" spans="1:13" x14ac:dyDescent="0.25">
      <c r="A159" t="s">
        <v>483</v>
      </c>
      <c r="B159"/>
      <c r="C159" t="s">
        <v>349</v>
      </c>
      <c r="D159"/>
      <c r="E159"/>
      <c r="F159" t="s">
        <v>473</v>
      </c>
      <c r="G159">
        <v>2.7</v>
      </c>
      <c r="H159" t="s">
        <v>367</v>
      </c>
      <c r="I159" t="s">
        <v>682</v>
      </c>
      <c r="J159" s="29" t="s">
        <v>1101</v>
      </c>
      <c r="K159" t="s">
        <v>422</v>
      </c>
      <c r="L159" t="s">
        <v>709</v>
      </c>
      <c r="M159" t="s">
        <v>351</v>
      </c>
    </row>
    <row r="160" spans="1:13" x14ac:dyDescent="0.25">
      <c r="A160" t="s">
        <v>458</v>
      </c>
      <c r="B160"/>
      <c r="C160" t="s">
        <v>349</v>
      </c>
      <c r="D160"/>
      <c r="E160"/>
      <c r="F160" t="s">
        <v>417</v>
      </c>
      <c r="G160">
        <v>2.7</v>
      </c>
      <c r="H160" t="s">
        <v>367</v>
      </c>
      <c r="I160" t="s">
        <v>682</v>
      </c>
      <c r="J160" s="29" t="s">
        <v>1101</v>
      </c>
      <c r="K160" t="s">
        <v>422</v>
      </c>
      <c r="L160" t="s">
        <v>709</v>
      </c>
      <c r="M160" t="s">
        <v>351</v>
      </c>
    </row>
    <row r="161" spans="1:13" x14ac:dyDescent="0.25">
      <c r="A161" t="s">
        <v>432</v>
      </c>
      <c r="B161"/>
      <c r="C161" t="s">
        <v>349</v>
      </c>
      <c r="D161"/>
      <c r="E161"/>
      <c r="F161"/>
      <c r="G161">
        <v>3.2</v>
      </c>
      <c r="H161" t="s">
        <v>364</v>
      </c>
      <c r="I161" t="s">
        <v>682</v>
      </c>
      <c r="J161" s="29" t="s">
        <v>1101</v>
      </c>
      <c r="K161" t="s">
        <v>422</v>
      </c>
      <c r="L161" t="s">
        <v>709</v>
      </c>
      <c r="M161" t="s">
        <v>351</v>
      </c>
    </row>
    <row r="162" spans="1:13" x14ac:dyDescent="0.25">
      <c r="A162" t="s">
        <v>484</v>
      </c>
      <c r="B162"/>
      <c r="C162" t="s">
        <v>349</v>
      </c>
      <c r="D162"/>
      <c r="E162"/>
      <c r="F162" t="s">
        <v>464</v>
      </c>
      <c r="G162">
        <v>8.8000000000000007</v>
      </c>
      <c r="H162" t="s">
        <v>364</v>
      </c>
      <c r="I162" t="s">
        <v>682</v>
      </c>
      <c r="J162" s="29" t="s">
        <v>1101</v>
      </c>
      <c r="K162" t="s">
        <v>422</v>
      </c>
      <c r="L162" t="s">
        <v>709</v>
      </c>
      <c r="M162" t="s">
        <v>351</v>
      </c>
    </row>
    <row r="163" spans="1:13" x14ac:dyDescent="0.25">
      <c r="A163" t="s">
        <v>355</v>
      </c>
      <c r="B163"/>
      <c r="C163" t="s">
        <v>349</v>
      </c>
      <c r="D163"/>
      <c r="E163"/>
      <c r="F163"/>
      <c r="G163">
        <v>10.5</v>
      </c>
      <c r="H163" t="s">
        <v>356</v>
      </c>
      <c r="I163" t="s">
        <v>682</v>
      </c>
      <c r="J163" s="29" t="s">
        <v>1101</v>
      </c>
      <c r="K163" t="s">
        <v>422</v>
      </c>
      <c r="L163" t="s">
        <v>709</v>
      </c>
      <c r="M163" t="s">
        <v>351</v>
      </c>
    </row>
    <row r="164" spans="1:13" x14ac:dyDescent="0.25">
      <c r="A164" t="s">
        <v>560</v>
      </c>
      <c r="B164"/>
      <c r="C164" t="s">
        <v>349</v>
      </c>
      <c r="D164"/>
      <c r="E164"/>
      <c r="F164"/>
      <c r="G164">
        <v>12</v>
      </c>
      <c r="H164" t="s">
        <v>356</v>
      </c>
      <c r="I164" t="s">
        <v>682</v>
      </c>
      <c r="J164" s="29" t="s">
        <v>1101</v>
      </c>
      <c r="K164" t="s">
        <v>422</v>
      </c>
      <c r="L164" t="s">
        <v>709</v>
      </c>
      <c r="M164" t="s">
        <v>351</v>
      </c>
    </row>
    <row r="165" spans="1:13" x14ac:dyDescent="0.25">
      <c r="A165" t="s">
        <v>462</v>
      </c>
      <c r="B165" t="s">
        <v>585</v>
      </c>
      <c r="C165" t="s">
        <v>349</v>
      </c>
      <c r="D165"/>
      <c r="E165"/>
      <c r="F165"/>
      <c r="G165">
        <v>14.4</v>
      </c>
      <c r="H165" t="s">
        <v>356</v>
      </c>
      <c r="I165" t="s">
        <v>682</v>
      </c>
      <c r="J165" s="29" t="s">
        <v>1101</v>
      </c>
      <c r="K165" t="s">
        <v>422</v>
      </c>
      <c r="L165" t="s">
        <v>709</v>
      </c>
      <c r="M165" t="s">
        <v>351</v>
      </c>
    </row>
    <row r="166" spans="1:13" x14ac:dyDescent="0.25">
      <c r="A166" t="s">
        <v>485</v>
      </c>
      <c r="B166" t="s">
        <v>381</v>
      </c>
      <c r="C166" t="s">
        <v>349</v>
      </c>
      <c r="D166"/>
      <c r="E166"/>
      <c r="F166"/>
      <c r="G166">
        <v>17.600000000000001</v>
      </c>
      <c r="H166" t="s">
        <v>364</v>
      </c>
      <c r="I166" t="s">
        <v>682</v>
      </c>
      <c r="J166" s="29" t="s">
        <v>1101</v>
      </c>
      <c r="K166" t="s">
        <v>422</v>
      </c>
      <c r="L166" t="s">
        <v>709</v>
      </c>
      <c r="M166" t="s">
        <v>351</v>
      </c>
    </row>
    <row r="167" spans="1:13" x14ac:dyDescent="0.25">
      <c r="A167" t="s">
        <v>472</v>
      </c>
      <c r="B167"/>
      <c r="C167" t="s">
        <v>349</v>
      </c>
      <c r="D167"/>
      <c r="E167"/>
      <c r="F167" t="s">
        <v>555</v>
      </c>
      <c r="G167">
        <v>19.8</v>
      </c>
      <c r="H167" t="s">
        <v>356</v>
      </c>
      <c r="I167" t="s">
        <v>682</v>
      </c>
      <c r="J167" s="29" t="s">
        <v>1101</v>
      </c>
      <c r="K167" t="s">
        <v>422</v>
      </c>
      <c r="L167" t="s">
        <v>709</v>
      </c>
      <c r="M167" t="s">
        <v>351</v>
      </c>
    </row>
    <row r="168" spans="1:13" x14ac:dyDescent="0.25">
      <c r="A168" t="s">
        <v>484</v>
      </c>
      <c r="B168"/>
      <c r="C168" t="s">
        <v>349</v>
      </c>
      <c r="D168"/>
      <c r="E168"/>
      <c r="F168" t="s">
        <v>473</v>
      </c>
      <c r="G168">
        <v>24.7</v>
      </c>
      <c r="H168" t="s">
        <v>356</v>
      </c>
      <c r="I168" t="s">
        <v>682</v>
      </c>
      <c r="J168" s="29" t="s">
        <v>1101</v>
      </c>
      <c r="K168" t="s">
        <v>422</v>
      </c>
      <c r="L168" t="s">
        <v>709</v>
      </c>
      <c r="M168" t="s">
        <v>351</v>
      </c>
    </row>
    <row r="169" spans="1:13" x14ac:dyDescent="0.25">
      <c r="A169" t="s">
        <v>484</v>
      </c>
      <c r="B169"/>
      <c r="C169" t="s">
        <v>349</v>
      </c>
      <c r="D169"/>
      <c r="E169"/>
      <c r="F169" t="s">
        <v>473</v>
      </c>
      <c r="G169">
        <v>26</v>
      </c>
      <c r="H169" t="s">
        <v>364</v>
      </c>
      <c r="I169" t="s">
        <v>682</v>
      </c>
      <c r="J169" s="29" t="s">
        <v>1101</v>
      </c>
      <c r="K169" t="s">
        <v>422</v>
      </c>
      <c r="L169" t="s">
        <v>709</v>
      </c>
      <c r="M169" t="s">
        <v>351</v>
      </c>
    </row>
    <row r="170" spans="1:13" x14ac:dyDescent="0.25">
      <c r="A170" t="s">
        <v>462</v>
      </c>
      <c r="B170" t="s">
        <v>449</v>
      </c>
      <c r="C170" t="s">
        <v>349</v>
      </c>
      <c r="D170"/>
      <c r="E170"/>
      <c r="F170"/>
      <c r="G170">
        <v>26.3</v>
      </c>
      <c r="H170" t="s">
        <v>356</v>
      </c>
      <c r="I170" t="s">
        <v>682</v>
      </c>
      <c r="J170" s="29" t="s">
        <v>1101</v>
      </c>
      <c r="K170" t="s">
        <v>422</v>
      </c>
      <c r="L170" t="s">
        <v>709</v>
      </c>
      <c r="M170" t="s">
        <v>351</v>
      </c>
    </row>
    <row r="171" spans="1:13" x14ac:dyDescent="0.25">
      <c r="A171" t="s">
        <v>546</v>
      </c>
      <c r="B171"/>
      <c r="C171" t="s">
        <v>349</v>
      </c>
      <c r="D171"/>
      <c r="E171"/>
      <c r="F171"/>
      <c r="G171">
        <v>83.5</v>
      </c>
      <c r="H171" t="s">
        <v>405</v>
      </c>
      <c r="I171" t="s">
        <v>682</v>
      </c>
      <c r="J171" s="29" t="s">
        <v>1101</v>
      </c>
      <c r="K171" t="s">
        <v>422</v>
      </c>
      <c r="L171" t="s">
        <v>709</v>
      </c>
      <c r="M171" t="s">
        <v>351</v>
      </c>
    </row>
    <row r="172" spans="1:13" x14ac:dyDescent="0.25">
      <c r="A172" t="s">
        <v>432</v>
      </c>
      <c r="B172"/>
      <c r="C172" t="s">
        <v>349</v>
      </c>
      <c r="D172"/>
      <c r="E172"/>
      <c r="F172"/>
      <c r="G172">
        <v>112.3</v>
      </c>
      <c r="H172" t="s">
        <v>406</v>
      </c>
      <c r="I172" t="s">
        <v>682</v>
      </c>
      <c r="J172" s="29" t="s">
        <v>1101</v>
      </c>
      <c r="K172" t="s">
        <v>422</v>
      </c>
      <c r="L172" t="s">
        <v>709</v>
      </c>
      <c r="M172" t="s">
        <v>351</v>
      </c>
    </row>
    <row r="173" spans="1:13" x14ac:dyDescent="0.25">
      <c r="A173" t="s">
        <v>568</v>
      </c>
      <c r="B173"/>
      <c r="C173" t="s">
        <v>349</v>
      </c>
      <c r="D173"/>
      <c r="E173"/>
      <c r="F173"/>
      <c r="G173">
        <v>377.4</v>
      </c>
      <c r="H173" t="s">
        <v>509</v>
      </c>
      <c r="I173" t="s">
        <v>682</v>
      </c>
      <c r="J173" s="29" t="s">
        <v>1101</v>
      </c>
      <c r="K173" t="s">
        <v>422</v>
      </c>
      <c r="L173" t="s">
        <v>709</v>
      </c>
      <c r="M173" t="s">
        <v>351</v>
      </c>
    </row>
    <row r="174" spans="1:13" x14ac:dyDescent="0.25">
      <c r="A174" t="s">
        <v>484</v>
      </c>
      <c r="B174"/>
      <c r="C174" t="s">
        <v>349</v>
      </c>
      <c r="D174"/>
      <c r="E174"/>
      <c r="F174" t="s">
        <v>641</v>
      </c>
      <c r="G174">
        <v>1384.8</v>
      </c>
      <c r="H174" t="s">
        <v>642</v>
      </c>
      <c r="I174" t="s">
        <v>652</v>
      </c>
      <c r="J174" s="29" t="s">
        <v>1102</v>
      </c>
      <c r="K174" t="s">
        <v>1026</v>
      </c>
      <c r="L174" t="s">
        <v>996</v>
      </c>
      <c r="M174" t="s">
        <v>351</v>
      </c>
    </row>
    <row r="175" spans="1:13" x14ac:dyDescent="0.25">
      <c r="A175" t="s">
        <v>589</v>
      </c>
      <c r="B175"/>
      <c r="C175"/>
      <c r="D175"/>
      <c r="E175"/>
      <c r="F175"/>
      <c r="G175">
        <v>760</v>
      </c>
      <c r="H175" t="s">
        <v>356</v>
      </c>
      <c r="I175" t="s">
        <v>1084</v>
      </c>
      <c r="J175" s="29" t="s">
        <v>1103</v>
      </c>
      <c r="K175" t="s">
        <v>1085</v>
      </c>
      <c r="L175" t="s">
        <v>918</v>
      </c>
      <c r="M175" t="s">
        <v>351</v>
      </c>
    </row>
    <row r="176" spans="1:13" x14ac:dyDescent="0.25">
      <c r="A176" t="s">
        <v>462</v>
      </c>
      <c r="B176" t="s">
        <v>581</v>
      </c>
      <c r="C176" t="s">
        <v>349</v>
      </c>
      <c r="D176"/>
      <c r="E176"/>
      <c r="F176"/>
      <c r="G176">
        <v>48.14</v>
      </c>
      <c r="H176" t="s">
        <v>622</v>
      </c>
      <c r="I176" t="s">
        <v>931</v>
      </c>
      <c r="J176" s="29" t="s">
        <v>1104</v>
      </c>
      <c r="K176" t="s">
        <v>932</v>
      </c>
      <c r="L176" t="s">
        <v>933</v>
      </c>
      <c r="M176" t="s">
        <v>351</v>
      </c>
    </row>
    <row r="177" spans="1:13" x14ac:dyDescent="0.25">
      <c r="A177" t="s">
        <v>546</v>
      </c>
      <c r="B177"/>
      <c r="C177" t="s">
        <v>349</v>
      </c>
      <c r="D177"/>
      <c r="E177"/>
      <c r="F177"/>
      <c r="G177">
        <v>792.29</v>
      </c>
      <c r="H177" t="s">
        <v>1010</v>
      </c>
      <c r="I177" t="s">
        <v>931</v>
      </c>
      <c r="J177" s="29" t="s">
        <v>1104</v>
      </c>
      <c r="K177" t="s">
        <v>932</v>
      </c>
      <c r="L177" t="s">
        <v>933</v>
      </c>
      <c r="M177" t="s">
        <v>351</v>
      </c>
    </row>
    <row r="178" spans="1:13" x14ac:dyDescent="0.25">
      <c r="A178" t="s">
        <v>595</v>
      </c>
      <c r="B178" t="s">
        <v>831</v>
      </c>
      <c r="C178" t="s">
        <v>349</v>
      </c>
      <c r="D178"/>
      <c r="E178"/>
      <c r="F178" t="s">
        <v>545</v>
      </c>
      <c r="G178">
        <v>5</v>
      </c>
      <c r="H178" t="s">
        <v>356</v>
      </c>
      <c r="I178" t="s">
        <v>832</v>
      </c>
      <c r="J178" s="29" t="s">
        <v>1105</v>
      </c>
      <c r="K178" t="s">
        <v>833</v>
      </c>
      <c r="L178" t="s">
        <v>834</v>
      </c>
      <c r="M178" t="s">
        <v>351</v>
      </c>
    </row>
    <row r="179" spans="1:13" x14ac:dyDescent="0.25">
      <c r="A179" t="s">
        <v>432</v>
      </c>
      <c r="B179"/>
      <c r="C179" t="s">
        <v>349</v>
      </c>
      <c r="D179"/>
      <c r="E179"/>
      <c r="F179"/>
      <c r="G179">
        <v>6</v>
      </c>
      <c r="H179" t="s">
        <v>356</v>
      </c>
      <c r="I179" t="s">
        <v>358</v>
      </c>
      <c r="J179" s="29" t="s">
        <v>1105</v>
      </c>
      <c r="K179" t="s">
        <v>833</v>
      </c>
      <c r="L179" t="s">
        <v>834</v>
      </c>
      <c r="M179" t="s">
        <v>351</v>
      </c>
    </row>
    <row r="180" spans="1:13" x14ac:dyDescent="0.25">
      <c r="A180" t="s">
        <v>423</v>
      </c>
      <c r="B180" t="s">
        <v>851</v>
      </c>
      <c r="C180" t="s">
        <v>349</v>
      </c>
      <c r="D180"/>
      <c r="E180"/>
      <c r="F180" t="s">
        <v>545</v>
      </c>
      <c r="G180">
        <v>7</v>
      </c>
      <c r="H180" t="s">
        <v>356</v>
      </c>
      <c r="I180" t="s">
        <v>832</v>
      </c>
      <c r="J180" s="29" t="s">
        <v>1105</v>
      </c>
      <c r="K180" t="s">
        <v>833</v>
      </c>
      <c r="L180" t="s">
        <v>834</v>
      </c>
      <c r="M180" t="s">
        <v>351</v>
      </c>
    </row>
    <row r="181" spans="1:13" x14ac:dyDescent="0.25">
      <c r="A181" t="s">
        <v>371</v>
      </c>
      <c r="B181" t="s">
        <v>882</v>
      </c>
      <c r="C181" t="s">
        <v>349</v>
      </c>
      <c r="D181"/>
      <c r="E181"/>
      <c r="F181" t="s">
        <v>545</v>
      </c>
      <c r="G181">
        <v>13</v>
      </c>
      <c r="H181" t="s">
        <v>364</v>
      </c>
      <c r="I181" t="s">
        <v>832</v>
      </c>
      <c r="J181" s="29" t="s">
        <v>1105</v>
      </c>
      <c r="K181" t="s">
        <v>833</v>
      </c>
      <c r="L181" t="s">
        <v>834</v>
      </c>
      <c r="M181" t="s">
        <v>351</v>
      </c>
    </row>
    <row r="182" spans="1:13" x14ac:dyDescent="0.25">
      <c r="A182" t="s">
        <v>490</v>
      </c>
      <c r="B182"/>
      <c r="C182" t="s">
        <v>349</v>
      </c>
      <c r="D182"/>
      <c r="E182"/>
      <c r="F182" t="s">
        <v>545</v>
      </c>
      <c r="G182">
        <v>24</v>
      </c>
      <c r="H182" t="s">
        <v>364</v>
      </c>
      <c r="I182" t="s">
        <v>358</v>
      </c>
      <c r="J182" s="29" t="s">
        <v>1105</v>
      </c>
      <c r="K182" t="s">
        <v>833</v>
      </c>
      <c r="L182" t="s">
        <v>834</v>
      </c>
      <c r="M182" t="s">
        <v>351</v>
      </c>
    </row>
    <row r="183" spans="1:13" x14ac:dyDescent="0.25">
      <c r="A183" t="s">
        <v>546</v>
      </c>
      <c r="B183"/>
      <c r="C183" t="s">
        <v>349</v>
      </c>
      <c r="D183"/>
      <c r="E183"/>
      <c r="F183"/>
      <c r="G183">
        <v>27</v>
      </c>
      <c r="H183" t="s">
        <v>367</v>
      </c>
      <c r="I183" t="s">
        <v>832</v>
      </c>
      <c r="J183" s="29" t="s">
        <v>1105</v>
      </c>
      <c r="K183" t="s">
        <v>833</v>
      </c>
      <c r="L183" t="s">
        <v>834</v>
      </c>
      <c r="M183" t="s">
        <v>351</v>
      </c>
    </row>
    <row r="184" spans="1:13" x14ac:dyDescent="0.25">
      <c r="A184" t="s">
        <v>553</v>
      </c>
      <c r="B184"/>
      <c r="C184" t="s">
        <v>349</v>
      </c>
      <c r="D184"/>
      <c r="E184"/>
      <c r="F184" t="s">
        <v>545</v>
      </c>
      <c r="G184">
        <v>29</v>
      </c>
      <c r="H184" t="s">
        <v>356</v>
      </c>
      <c r="I184" t="s">
        <v>358</v>
      </c>
      <c r="J184" s="29" t="s">
        <v>1105</v>
      </c>
      <c r="K184" t="s">
        <v>833</v>
      </c>
      <c r="L184" t="s">
        <v>834</v>
      </c>
      <c r="M184" t="s">
        <v>351</v>
      </c>
    </row>
    <row r="185" spans="1:13" x14ac:dyDescent="0.25">
      <c r="A185" t="s">
        <v>413</v>
      </c>
      <c r="B185"/>
      <c r="C185" t="s">
        <v>349</v>
      </c>
      <c r="D185"/>
      <c r="E185"/>
      <c r="F185" t="s">
        <v>500</v>
      </c>
      <c r="G185">
        <v>33</v>
      </c>
      <c r="H185" t="s">
        <v>356</v>
      </c>
      <c r="I185" t="s">
        <v>358</v>
      </c>
      <c r="J185" s="29" t="s">
        <v>1105</v>
      </c>
      <c r="K185" t="s">
        <v>833</v>
      </c>
      <c r="L185" t="s">
        <v>834</v>
      </c>
      <c r="M185" t="s">
        <v>351</v>
      </c>
    </row>
    <row r="186" spans="1:13" x14ac:dyDescent="0.25">
      <c r="A186" t="s">
        <v>903</v>
      </c>
      <c r="B186"/>
      <c r="C186" t="s">
        <v>349</v>
      </c>
      <c r="D186"/>
      <c r="E186"/>
      <c r="F186" t="s">
        <v>545</v>
      </c>
      <c r="G186">
        <v>40</v>
      </c>
      <c r="H186" t="s">
        <v>356</v>
      </c>
      <c r="I186" t="s">
        <v>358</v>
      </c>
      <c r="J186" s="29" t="s">
        <v>1105</v>
      </c>
      <c r="K186" t="s">
        <v>833</v>
      </c>
      <c r="L186" t="s">
        <v>834</v>
      </c>
      <c r="M186" t="s">
        <v>351</v>
      </c>
    </row>
    <row r="187" spans="1:13" x14ac:dyDescent="0.25">
      <c r="A187" t="s">
        <v>447</v>
      </c>
      <c r="B187"/>
      <c r="C187" t="s">
        <v>349</v>
      </c>
      <c r="D187"/>
      <c r="E187"/>
      <c r="F187" t="s">
        <v>930</v>
      </c>
      <c r="G187">
        <v>48</v>
      </c>
      <c r="H187" t="s">
        <v>356</v>
      </c>
      <c r="I187" t="s">
        <v>358</v>
      </c>
      <c r="J187" s="29" t="s">
        <v>1105</v>
      </c>
      <c r="K187" t="s">
        <v>833</v>
      </c>
      <c r="L187" t="s">
        <v>834</v>
      </c>
      <c r="M187" t="s">
        <v>351</v>
      </c>
    </row>
    <row r="188" spans="1:13" x14ac:dyDescent="0.25">
      <c r="A188" t="s">
        <v>534</v>
      </c>
      <c r="B188" t="s">
        <v>944</v>
      </c>
      <c r="C188" t="s">
        <v>349</v>
      </c>
      <c r="D188"/>
      <c r="E188"/>
      <c r="F188"/>
      <c r="G188">
        <v>72</v>
      </c>
      <c r="H188" t="s">
        <v>364</v>
      </c>
      <c r="I188" t="s">
        <v>832</v>
      </c>
      <c r="J188" s="29" t="s">
        <v>1105</v>
      </c>
      <c r="K188" t="s">
        <v>833</v>
      </c>
      <c r="L188" t="s">
        <v>834</v>
      </c>
      <c r="M188" t="s">
        <v>351</v>
      </c>
    </row>
    <row r="189" spans="1:13" x14ac:dyDescent="0.25">
      <c r="A189" t="s">
        <v>453</v>
      </c>
      <c r="B189" t="s">
        <v>617</v>
      </c>
      <c r="C189" t="s">
        <v>349</v>
      </c>
      <c r="D189"/>
      <c r="E189"/>
      <c r="F189"/>
      <c r="G189">
        <v>74</v>
      </c>
      <c r="H189" t="s">
        <v>364</v>
      </c>
      <c r="I189" t="s">
        <v>832</v>
      </c>
      <c r="J189" s="29" t="s">
        <v>1105</v>
      </c>
      <c r="K189" t="s">
        <v>833</v>
      </c>
      <c r="L189" t="s">
        <v>834</v>
      </c>
      <c r="M189" t="s">
        <v>351</v>
      </c>
    </row>
    <row r="190" spans="1:13" x14ac:dyDescent="0.25">
      <c r="A190" t="s">
        <v>357</v>
      </c>
      <c r="B190" t="s">
        <v>631</v>
      </c>
      <c r="C190"/>
      <c r="D190" t="s">
        <v>613</v>
      </c>
      <c r="E190"/>
      <c r="F190"/>
      <c r="G190">
        <v>27</v>
      </c>
      <c r="H190" t="s">
        <v>356</v>
      </c>
      <c r="I190" t="s">
        <v>832</v>
      </c>
      <c r="J190" s="29" t="s">
        <v>1105</v>
      </c>
      <c r="K190" t="s">
        <v>833</v>
      </c>
      <c r="L190" t="s">
        <v>834</v>
      </c>
      <c r="M190" t="s">
        <v>351</v>
      </c>
    </row>
    <row r="191" spans="1:13" x14ac:dyDescent="0.25">
      <c r="A191" t="s">
        <v>396</v>
      </c>
      <c r="B191"/>
      <c r="C191"/>
      <c r="D191"/>
      <c r="E191"/>
      <c r="F191"/>
      <c r="G191">
        <v>2</v>
      </c>
      <c r="H191" t="s">
        <v>356</v>
      </c>
      <c r="I191" t="s">
        <v>658</v>
      </c>
      <c r="J191" s="29" t="s">
        <v>1105</v>
      </c>
      <c r="K191" t="s">
        <v>833</v>
      </c>
      <c r="L191" t="s">
        <v>834</v>
      </c>
      <c r="M191" t="s">
        <v>351</v>
      </c>
    </row>
    <row r="192" spans="1:13" x14ac:dyDescent="0.25">
      <c r="A192" t="s">
        <v>576</v>
      </c>
      <c r="B192"/>
      <c r="C192" t="s">
        <v>349</v>
      </c>
      <c r="D192"/>
      <c r="E192"/>
      <c r="F192"/>
      <c r="G192">
        <v>255</v>
      </c>
      <c r="H192" t="s">
        <v>524</v>
      </c>
      <c r="I192" t="s">
        <v>978</v>
      </c>
      <c r="J192" s="29" t="s">
        <v>1105</v>
      </c>
      <c r="K192" t="s">
        <v>833</v>
      </c>
      <c r="L192" t="s">
        <v>834</v>
      </c>
      <c r="M192" t="s">
        <v>351</v>
      </c>
    </row>
    <row r="193" spans="1:13" x14ac:dyDescent="0.25">
      <c r="A193" t="s">
        <v>432</v>
      </c>
      <c r="B193"/>
      <c r="C193" t="s">
        <v>349</v>
      </c>
      <c r="D193"/>
      <c r="E193"/>
      <c r="F193"/>
      <c r="G193">
        <v>311</v>
      </c>
      <c r="H193" t="s">
        <v>601</v>
      </c>
      <c r="I193" t="s">
        <v>832</v>
      </c>
      <c r="J193" s="29" t="s">
        <v>1105</v>
      </c>
      <c r="K193" t="s">
        <v>833</v>
      </c>
      <c r="L193" t="s">
        <v>834</v>
      </c>
      <c r="M193" t="s">
        <v>351</v>
      </c>
    </row>
    <row r="194" spans="1:13" x14ac:dyDescent="0.25">
      <c r="A194" t="s">
        <v>408</v>
      </c>
      <c r="B194"/>
      <c r="C194" t="s">
        <v>349</v>
      </c>
      <c r="D194"/>
      <c r="E194"/>
      <c r="F194" t="s">
        <v>500</v>
      </c>
      <c r="G194">
        <v>8</v>
      </c>
      <c r="H194" t="s">
        <v>367</v>
      </c>
      <c r="I194" t="s">
        <v>796</v>
      </c>
      <c r="J194" s="29" t="s">
        <v>1106</v>
      </c>
      <c r="K194" t="s">
        <v>853</v>
      </c>
      <c r="L194" t="s">
        <v>798</v>
      </c>
      <c r="M194" t="s">
        <v>351</v>
      </c>
    </row>
    <row r="195" spans="1:13" x14ac:dyDescent="0.25">
      <c r="A195" t="s">
        <v>432</v>
      </c>
      <c r="B195"/>
      <c r="C195" t="s">
        <v>349</v>
      </c>
      <c r="D195"/>
      <c r="E195"/>
      <c r="F195"/>
      <c r="G195">
        <v>8.0299999999999994</v>
      </c>
      <c r="H195" t="s">
        <v>856</v>
      </c>
      <c r="I195" t="s">
        <v>857</v>
      </c>
      <c r="J195" s="29" t="s">
        <v>1107</v>
      </c>
      <c r="K195" t="s">
        <v>858</v>
      </c>
      <c r="L195" t="s">
        <v>859</v>
      </c>
      <c r="M195" t="s">
        <v>351</v>
      </c>
    </row>
    <row r="196" spans="1:13" x14ac:dyDescent="0.25">
      <c r="A196" t="s">
        <v>462</v>
      </c>
      <c r="B196" t="s">
        <v>581</v>
      </c>
      <c r="C196" t="s">
        <v>349</v>
      </c>
      <c r="D196"/>
      <c r="E196"/>
      <c r="F196"/>
      <c r="G196">
        <v>328.53</v>
      </c>
      <c r="H196" t="s">
        <v>997</v>
      </c>
      <c r="I196" t="s">
        <v>857</v>
      </c>
      <c r="J196" s="29" t="s">
        <v>1107</v>
      </c>
      <c r="K196" t="s">
        <v>858</v>
      </c>
      <c r="L196" t="s">
        <v>859</v>
      </c>
      <c r="M196" t="s">
        <v>351</v>
      </c>
    </row>
    <row r="197" spans="1:13" x14ac:dyDescent="0.25">
      <c r="A197" t="s">
        <v>925</v>
      </c>
      <c r="B197" t="s">
        <v>496</v>
      </c>
      <c r="C197"/>
      <c r="D197"/>
      <c r="E197"/>
      <c r="F197"/>
      <c r="G197">
        <v>221</v>
      </c>
      <c r="H197" t="s">
        <v>368</v>
      </c>
      <c r="I197" t="s">
        <v>926</v>
      </c>
      <c r="J197" s="29" t="s">
        <v>1108</v>
      </c>
      <c r="K197" t="s">
        <v>927</v>
      </c>
      <c r="L197" t="s">
        <v>918</v>
      </c>
      <c r="M197" t="s">
        <v>351</v>
      </c>
    </row>
    <row r="198" spans="1:13" x14ac:dyDescent="0.25">
      <c r="A198" t="s">
        <v>925</v>
      </c>
      <c r="B198" t="s">
        <v>928</v>
      </c>
      <c r="C198"/>
      <c r="D198"/>
      <c r="E198"/>
      <c r="F198"/>
      <c r="G198">
        <v>195</v>
      </c>
      <c r="H198" t="s">
        <v>356</v>
      </c>
      <c r="I198" t="s">
        <v>929</v>
      </c>
      <c r="J198" s="29" t="s">
        <v>1108</v>
      </c>
      <c r="K198" t="s">
        <v>927</v>
      </c>
      <c r="L198" t="s">
        <v>918</v>
      </c>
      <c r="M198" t="s">
        <v>351</v>
      </c>
    </row>
    <row r="199" spans="1:13" x14ac:dyDescent="0.25">
      <c r="A199" t="s">
        <v>934</v>
      </c>
      <c r="B199"/>
      <c r="C199"/>
      <c r="D199"/>
      <c r="E199"/>
      <c r="F199"/>
      <c r="G199">
        <v>90</v>
      </c>
      <c r="H199" t="s">
        <v>364</v>
      </c>
      <c r="I199" t="s">
        <v>935</v>
      </c>
      <c r="J199" s="29" t="s">
        <v>1108</v>
      </c>
      <c r="K199" t="s">
        <v>927</v>
      </c>
      <c r="L199" t="s">
        <v>918</v>
      </c>
      <c r="M199" t="s">
        <v>351</v>
      </c>
    </row>
    <row r="200" spans="1:13" x14ac:dyDescent="0.25">
      <c r="A200" t="s">
        <v>396</v>
      </c>
      <c r="B200"/>
      <c r="C200"/>
      <c r="D200"/>
      <c r="E200"/>
      <c r="F200"/>
      <c r="G200">
        <v>260</v>
      </c>
      <c r="H200" t="s">
        <v>356</v>
      </c>
      <c r="I200" t="s">
        <v>938</v>
      </c>
      <c r="J200" s="29" t="s">
        <v>1108</v>
      </c>
      <c r="K200" t="s">
        <v>927</v>
      </c>
      <c r="L200" t="s">
        <v>918</v>
      </c>
      <c r="M200" t="s">
        <v>351</v>
      </c>
    </row>
    <row r="201" spans="1:13" x14ac:dyDescent="0.25">
      <c r="A201" t="s">
        <v>396</v>
      </c>
      <c r="B201"/>
      <c r="C201"/>
      <c r="D201"/>
      <c r="E201"/>
      <c r="F201"/>
      <c r="G201">
        <v>69</v>
      </c>
      <c r="H201" t="s">
        <v>356</v>
      </c>
      <c r="I201" t="s">
        <v>939</v>
      </c>
      <c r="J201" s="29" t="s">
        <v>1108</v>
      </c>
      <c r="K201" t="s">
        <v>927</v>
      </c>
      <c r="L201" t="s">
        <v>918</v>
      </c>
      <c r="M201" t="s">
        <v>351</v>
      </c>
    </row>
    <row r="202" spans="1:13" x14ac:dyDescent="0.25">
      <c r="A202" t="s">
        <v>432</v>
      </c>
      <c r="B202"/>
      <c r="C202" t="s">
        <v>349</v>
      </c>
      <c r="D202"/>
      <c r="E202"/>
      <c r="F202"/>
      <c r="G202">
        <v>2</v>
      </c>
      <c r="H202" t="s">
        <v>356</v>
      </c>
      <c r="I202" t="s">
        <v>796</v>
      </c>
      <c r="J202">
        <v>100284</v>
      </c>
      <c r="K202" t="s">
        <v>797</v>
      </c>
      <c r="L202" t="s">
        <v>798</v>
      </c>
      <c r="M202" t="s">
        <v>351</v>
      </c>
    </row>
    <row r="203" spans="1:13" x14ac:dyDescent="0.25">
      <c r="A203" t="s">
        <v>408</v>
      </c>
      <c r="B203"/>
      <c r="C203" t="s">
        <v>349</v>
      </c>
      <c r="D203"/>
      <c r="E203"/>
      <c r="F203" t="s">
        <v>500</v>
      </c>
      <c r="G203">
        <v>18</v>
      </c>
      <c r="H203" t="s">
        <v>391</v>
      </c>
      <c r="I203" t="s">
        <v>796</v>
      </c>
      <c r="J203">
        <v>100284</v>
      </c>
      <c r="K203" t="s">
        <v>797</v>
      </c>
      <c r="L203" t="s">
        <v>798</v>
      </c>
      <c r="M203" t="s">
        <v>351</v>
      </c>
    </row>
    <row r="204" spans="1:13" x14ac:dyDescent="0.25">
      <c r="A204" t="s">
        <v>397</v>
      </c>
      <c r="B204"/>
      <c r="C204" t="s">
        <v>349</v>
      </c>
      <c r="D204"/>
      <c r="E204"/>
      <c r="F204" t="s">
        <v>668</v>
      </c>
      <c r="G204">
        <v>0.06</v>
      </c>
      <c r="H204" t="s">
        <v>350</v>
      </c>
      <c r="I204" t="s">
        <v>352</v>
      </c>
      <c r="J204">
        <v>100584</v>
      </c>
      <c r="K204" t="s">
        <v>669</v>
      </c>
      <c r="L204" t="s">
        <v>670</v>
      </c>
      <c r="M204" t="s">
        <v>351</v>
      </c>
    </row>
    <row r="205" spans="1:13" x14ac:dyDescent="0.25">
      <c r="A205" t="s">
        <v>435</v>
      </c>
      <c r="B205" t="s">
        <v>671</v>
      </c>
      <c r="C205" t="s">
        <v>349</v>
      </c>
      <c r="D205"/>
      <c r="E205"/>
      <c r="F205"/>
      <c r="G205">
        <v>0.06</v>
      </c>
      <c r="H205" t="s">
        <v>350</v>
      </c>
      <c r="I205" t="s">
        <v>352</v>
      </c>
      <c r="J205">
        <v>100584</v>
      </c>
      <c r="K205" t="s">
        <v>669</v>
      </c>
      <c r="L205" t="s">
        <v>670</v>
      </c>
      <c r="M205" t="s">
        <v>351</v>
      </c>
    </row>
    <row r="206" spans="1:13" x14ac:dyDescent="0.25">
      <c r="A206" t="s">
        <v>434</v>
      </c>
      <c r="B206"/>
      <c r="C206" t="s">
        <v>349</v>
      </c>
      <c r="D206"/>
      <c r="E206"/>
      <c r="F206" t="s">
        <v>672</v>
      </c>
      <c r="G206">
        <v>0.09</v>
      </c>
      <c r="H206" t="s">
        <v>350</v>
      </c>
      <c r="I206" t="s">
        <v>352</v>
      </c>
      <c r="J206">
        <v>100584</v>
      </c>
      <c r="K206" t="s">
        <v>669</v>
      </c>
      <c r="L206" t="s">
        <v>670</v>
      </c>
      <c r="M206" t="s">
        <v>351</v>
      </c>
    </row>
    <row r="207" spans="1:13" x14ac:dyDescent="0.25">
      <c r="A207" t="s">
        <v>373</v>
      </c>
      <c r="B207" t="s">
        <v>381</v>
      </c>
      <c r="C207" t="s">
        <v>349</v>
      </c>
      <c r="D207"/>
      <c r="E207"/>
      <c r="F207" t="s">
        <v>685</v>
      </c>
      <c r="G207">
        <v>0.1</v>
      </c>
      <c r="H207" t="s">
        <v>350</v>
      </c>
      <c r="I207" t="s">
        <v>352</v>
      </c>
      <c r="J207">
        <v>100584</v>
      </c>
      <c r="K207" t="s">
        <v>669</v>
      </c>
      <c r="L207" t="s">
        <v>670</v>
      </c>
      <c r="M207" t="s">
        <v>351</v>
      </c>
    </row>
    <row r="208" spans="1:13" x14ac:dyDescent="0.25">
      <c r="A208" t="s">
        <v>397</v>
      </c>
      <c r="B208"/>
      <c r="C208" t="s">
        <v>349</v>
      </c>
      <c r="D208"/>
      <c r="E208"/>
      <c r="F208" t="s">
        <v>689</v>
      </c>
      <c r="G208">
        <v>0.14000000000000001</v>
      </c>
      <c r="H208" t="s">
        <v>350</v>
      </c>
      <c r="I208" t="s">
        <v>352</v>
      </c>
      <c r="J208">
        <v>100584</v>
      </c>
      <c r="K208" t="s">
        <v>669</v>
      </c>
      <c r="L208" t="s">
        <v>670</v>
      </c>
      <c r="M208" t="s">
        <v>351</v>
      </c>
    </row>
    <row r="209" spans="1:13" x14ac:dyDescent="0.25">
      <c r="A209" t="s">
        <v>413</v>
      </c>
      <c r="B209"/>
      <c r="C209" t="s">
        <v>349</v>
      </c>
      <c r="D209"/>
      <c r="E209"/>
      <c r="F209" t="s">
        <v>690</v>
      </c>
      <c r="G209">
        <v>0.14000000000000001</v>
      </c>
      <c r="H209" t="s">
        <v>350</v>
      </c>
      <c r="I209" t="s">
        <v>352</v>
      </c>
      <c r="J209">
        <v>100584</v>
      </c>
      <c r="K209" t="s">
        <v>669</v>
      </c>
      <c r="L209" t="s">
        <v>670</v>
      </c>
      <c r="M209" t="s">
        <v>351</v>
      </c>
    </row>
    <row r="210" spans="1:13" x14ac:dyDescent="0.25">
      <c r="A210" t="s">
        <v>697</v>
      </c>
      <c r="B210"/>
      <c r="C210" t="s">
        <v>349</v>
      </c>
      <c r="D210"/>
      <c r="E210"/>
      <c r="F210" t="s">
        <v>698</v>
      </c>
      <c r="G210">
        <v>0.15</v>
      </c>
      <c r="H210" t="s">
        <v>350</v>
      </c>
      <c r="I210" t="s">
        <v>352</v>
      </c>
      <c r="J210">
        <v>100584</v>
      </c>
      <c r="K210" t="s">
        <v>669</v>
      </c>
      <c r="L210" t="s">
        <v>670</v>
      </c>
      <c r="M210" t="s">
        <v>351</v>
      </c>
    </row>
    <row r="211" spans="1:13" x14ac:dyDescent="0.25">
      <c r="A211" t="s">
        <v>699</v>
      </c>
      <c r="B211"/>
      <c r="C211" t="s">
        <v>349</v>
      </c>
      <c r="D211"/>
      <c r="E211"/>
      <c r="F211" t="s">
        <v>562</v>
      </c>
      <c r="G211">
        <v>0.15</v>
      </c>
      <c r="H211" t="s">
        <v>350</v>
      </c>
      <c r="I211" t="s">
        <v>352</v>
      </c>
      <c r="J211">
        <v>100584</v>
      </c>
      <c r="K211" t="s">
        <v>669</v>
      </c>
      <c r="L211" t="s">
        <v>670</v>
      </c>
      <c r="M211" t="s">
        <v>351</v>
      </c>
    </row>
    <row r="212" spans="1:13" x14ac:dyDescent="0.25">
      <c r="A212" t="s">
        <v>373</v>
      </c>
      <c r="B212" t="s">
        <v>383</v>
      </c>
      <c r="C212" t="s">
        <v>349</v>
      </c>
      <c r="D212"/>
      <c r="E212"/>
      <c r="F212" t="s">
        <v>700</v>
      </c>
      <c r="G212">
        <v>0.16</v>
      </c>
      <c r="H212" t="s">
        <v>350</v>
      </c>
      <c r="I212" t="s">
        <v>352</v>
      </c>
      <c r="J212">
        <v>100584</v>
      </c>
      <c r="K212" t="s">
        <v>669</v>
      </c>
      <c r="L212" t="s">
        <v>670</v>
      </c>
      <c r="M212" t="s">
        <v>351</v>
      </c>
    </row>
    <row r="213" spans="1:13" x14ac:dyDescent="0.25">
      <c r="A213" t="s">
        <v>371</v>
      </c>
      <c r="B213" t="s">
        <v>381</v>
      </c>
      <c r="C213" t="s">
        <v>349</v>
      </c>
      <c r="D213"/>
      <c r="E213"/>
      <c r="F213" t="s">
        <v>701</v>
      </c>
      <c r="G213">
        <v>0.18</v>
      </c>
      <c r="H213" t="s">
        <v>350</v>
      </c>
      <c r="I213" t="s">
        <v>352</v>
      </c>
      <c r="J213">
        <v>100584</v>
      </c>
      <c r="K213" t="s">
        <v>669</v>
      </c>
      <c r="L213" t="s">
        <v>670</v>
      </c>
      <c r="M213" t="s">
        <v>351</v>
      </c>
    </row>
    <row r="214" spans="1:13" x14ac:dyDescent="0.25">
      <c r="A214" t="s">
        <v>373</v>
      </c>
      <c r="B214" t="s">
        <v>502</v>
      </c>
      <c r="C214" t="s">
        <v>349</v>
      </c>
      <c r="D214"/>
      <c r="E214"/>
      <c r="F214" t="s">
        <v>641</v>
      </c>
      <c r="G214">
        <v>0.21</v>
      </c>
      <c r="H214" t="s">
        <v>350</v>
      </c>
      <c r="I214" t="s">
        <v>352</v>
      </c>
      <c r="J214">
        <v>100584</v>
      </c>
      <c r="K214" t="s">
        <v>669</v>
      </c>
      <c r="L214" t="s">
        <v>670</v>
      </c>
      <c r="M214" t="s">
        <v>351</v>
      </c>
    </row>
    <row r="215" spans="1:13" x14ac:dyDescent="0.25">
      <c r="A215" t="s">
        <v>435</v>
      </c>
      <c r="B215" t="s">
        <v>411</v>
      </c>
      <c r="C215" t="s">
        <v>349</v>
      </c>
      <c r="D215"/>
      <c r="E215"/>
      <c r="F215"/>
      <c r="G215">
        <v>0.21</v>
      </c>
      <c r="H215" t="s">
        <v>410</v>
      </c>
      <c r="I215" t="s">
        <v>352</v>
      </c>
      <c r="J215">
        <v>100584</v>
      </c>
      <c r="K215" t="s">
        <v>669</v>
      </c>
      <c r="L215" t="s">
        <v>670</v>
      </c>
      <c r="M215" t="s">
        <v>351</v>
      </c>
    </row>
    <row r="216" spans="1:13" x14ac:dyDescent="0.25">
      <c r="A216" t="s">
        <v>371</v>
      </c>
      <c r="B216" t="s">
        <v>429</v>
      </c>
      <c r="C216" t="s">
        <v>349</v>
      </c>
      <c r="D216"/>
      <c r="E216"/>
      <c r="F216" t="s">
        <v>710</v>
      </c>
      <c r="G216">
        <v>0.22</v>
      </c>
      <c r="H216" t="s">
        <v>350</v>
      </c>
      <c r="I216" t="s">
        <v>352</v>
      </c>
      <c r="J216">
        <v>100584</v>
      </c>
      <c r="K216" t="s">
        <v>669</v>
      </c>
      <c r="L216" t="s">
        <v>670</v>
      </c>
      <c r="M216" t="s">
        <v>351</v>
      </c>
    </row>
    <row r="217" spans="1:13" x14ac:dyDescent="0.25">
      <c r="A217" t="s">
        <v>371</v>
      </c>
      <c r="B217" t="s">
        <v>411</v>
      </c>
      <c r="C217" t="s">
        <v>349</v>
      </c>
      <c r="D217"/>
      <c r="E217"/>
      <c r="F217" s="30" t="s">
        <v>1111</v>
      </c>
      <c r="G217">
        <v>0.25</v>
      </c>
      <c r="H217" t="s">
        <v>350</v>
      </c>
      <c r="I217" t="s">
        <v>352</v>
      </c>
      <c r="J217">
        <v>100584</v>
      </c>
      <c r="K217" t="s">
        <v>669</v>
      </c>
      <c r="L217" t="s">
        <v>670</v>
      </c>
      <c r="M217" t="s">
        <v>351</v>
      </c>
    </row>
    <row r="218" spans="1:13" x14ac:dyDescent="0.25">
      <c r="A218" t="s">
        <v>390</v>
      </c>
      <c r="B218"/>
      <c r="C218" t="s">
        <v>349</v>
      </c>
      <c r="D218"/>
      <c r="E218"/>
      <c r="F218"/>
      <c r="G218">
        <v>0.25</v>
      </c>
      <c r="H218" t="s">
        <v>350</v>
      </c>
      <c r="I218" t="s">
        <v>352</v>
      </c>
      <c r="J218">
        <v>100584</v>
      </c>
      <c r="K218" t="s">
        <v>669</v>
      </c>
      <c r="L218" t="s">
        <v>670</v>
      </c>
      <c r="M218" t="s">
        <v>351</v>
      </c>
    </row>
    <row r="219" spans="1:13" x14ac:dyDescent="0.25">
      <c r="A219" t="s">
        <v>621</v>
      </c>
      <c r="B219"/>
      <c r="C219" t="s">
        <v>349</v>
      </c>
      <c r="D219"/>
      <c r="E219"/>
      <c r="F219" t="s">
        <v>712</v>
      </c>
      <c r="G219">
        <v>0.27</v>
      </c>
      <c r="H219" t="s">
        <v>350</v>
      </c>
      <c r="I219" t="s">
        <v>352</v>
      </c>
      <c r="J219">
        <v>100584</v>
      </c>
      <c r="K219" t="s">
        <v>669</v>
      </c>
      <c r="L219" t="s">
        <v>670</v>
      </c>
      <c r="M219" t="s">
        <v>351</v>
      </c>
    </row>
    <row r="220" spans="1:13" x14ac:dyDescent="0.25">
      <c r="A220" t="s">
        <v>373</v>
      </c>
      <c r="B220" t="s">
        <v>452</v>
      </c>
      <c r="C220" t="s">
        <v>349</v>
      </c>
      <c r="D220"/>
      <c r="E220"/>
      <c r="F220" t="s">
        <v>724</v>
      </c>
      <c r="G220">
        <v>0.3</v>
      </c>
      <c r="H220" t="s">
        <v>350</v>
      </c>
      <c r="I220" t="s">
        <v>352</v>
      </c>
      <c r="J220">
        <v>100584</v>
      </c>
      <c r="K220" t="s">
        <v>669</v>
      </c>
      <c r="L220" t="s">
        <v>670</v>
      </c>
      <c r="M220" t="s">
        <v>351</v>
      </c>
    </row>
    <row r="221" spans="1:13" x14ac:dyDescent="0.25">
      <c r="A221" t="s">
        <v>432</v>
      </c>
      <c r="B221"/>
      <c r="C221" t="s">
        <v>349</v>
      </c>
      <c r="D221"/>
      <c r="E221"/>
      <c r="F221"/>
      <c r="G221">
        <v>0.33</v>
      </c>
      <c r="H221" t="s">
        <v>350</v>
      </c>
      <c r="I221" t="s">
        <v>352</v>
      </c>
      <c r="J221">
        <v>100584</v>
      </c>
      <c r="K221" t="s">
        <v>669</v>
      </c>
      <c r="L221" t="s">
        <v>670</v>
      </c>
      <c r="M221" t="s">
        <v>351</v>
      </c>
    </row>
    <row r="222" spans="1:13" x14ac:dyDescent="0.25">
      <c r="A222" t="s">
        <v>453</v>
      </c>
      <c r="B222" t="s">
        <v>463</v>
      </c>
      <c r="C222" t="s">
        <v>349</v>
      </c>
      <c r="D222"/>
      <c r="E222"/>
      <c r="F222"/>
      <c r="G222">
        <v>0.42</v>
      </c>
      <c r="H222" t="s">
        <v>350</v>
      </c>
      <c r="I222" t="s">
        <v>352</v>
      </c>
      <c r="J222">
        <v>100584</v>
      </c>
      <c r="K222" t="s">
        <v>669</v>
      </c>
      <c r="L222" t="s">
        <v>670</v>
      </c>
      <c r="M222" t="s">
        <v>351</v>
      </c>
    </row>
    <row r="223" spans="1:13" x14ac:dyDescent="0.25">
      <c r="A223" t="s">
        <v>373</v>
      </c>
      <c r="B223" t="s">
        <v>414</v>
      </c>
      <c r="C223" t="s">
        <v>349</v>
      </c>
      <c r="D223"/>
      <c r="E223"/>
      <c r="F223" t="s">
        <v>724</v>
      </c>
      <c r="G223">
        <v>0.42</v>
      </c>
      <c r="H223" t="s">
        <v>359</v>
      </c>
      <c r="I223" t="s">
        <v>352</v>
      </c>
      <c r="J223">
        <v>100584</v>
      </c>
      <c r="K223" t="s">
        <v>669</v>
      </c>
      <c r="L223" t="s">
        <v>670</v>
      </c>
      <c r="M223" t="s">
        <v>351</v>
      </c>
    </row>
    <row r="224" spans="1:13" x14ac:dyDescent="0.25">
      <c r="A224" t="s">
        <v>371</v>
      </c>
      <c r="B224" t="s">
        <v>430</v>
      </c>
      <c r="C224" t="s">
        <v>349</v>
      </c>
      <c r="D224"/>
      <c r="E224"/>
      <c r="F224" t="s">
        <v>739</v>
      </c>
      <c r="G224">
        <v>0.46</v>
      </c>
      <c r="H224" t="s">
        <v>350</v>
      </c>
      <c r="I224" t="s">
        <v>352</v>
      </c>
      <c r="J224">
        <v>100584</v>
      </c>
      <c r="K224" t="s">
        <v>669</v>
      </c>
      <c r="L224" t="s">
        <v>670</v>
      </c>
      <c r="M224" t="s">
        <v>351</v>
      </c>
    </row>
    <row r="225" spans="1:13" x14ac:dyDescent="0.25">
      <c r="A225" t="s">
        <v>450</v>
      </c>
      <c r="B225"/>
      <c r="C225" t="s">
        <v>349</v>
      </c>
      <c r="D225"/>
      <c r="E225"/>
      <c r="F225"/>
      <c r="G225">
        <v>0.48</v>
      </c>
      <c r="H225" t="s">
        <v>410</v>
      </c>
      <c r="I225" t="s">
        <v>352</v>
      </c>
      <c r="J225">
        <v>100584</v>
      </c>
      <c r="K225" t="s">
        <v>669</v>
      </c>
      <c r="L225" t="s">
        <v>670</v>
      </c>
      <c r="M225" t="s">
        <v>351</v>
      </c>
    </row>
    <row r="226" spans="1:13" x14ac:dyDescent="0.25">
      <c r="A226" t="s">
        <v>699</v>
      </c>
      <c r="B226"/>
      <c r="C226" t="s">
        <v>349</v>
      </c>
      <c r="D226"/>
      <c r="E226"/>
      <c r="F226" t="s">
        <v>738</v>
      </c>
      <c r="G226">
        <v>0.48</v>
      </c>
      <c r="H226" t="s">
        <v>410</v>
      </c>
      <c r="I226" t="s">
        <v>352</v>
      </c>
      <c r="J226">
        <v>100584</v>
      </c>
      <c r="K226" t="s">
        <v>669</v>
      </c>
      <c r="L226" t="s">
        <v>670</v>
      </c>
      <c r="M226" t="s">
        <v>351</v>
      </c>
    </row>
    <row r="227" spans="1:13" x14ac:dyDescent="0.25">
      <c r="A227" t="s">
        <v>363</v>
      </c>
      <c r="B227" t="s">
        <v>456</v>
      </c>
      <c r="C227" t="s">
        <v>349</v>
      </c>
      <c r="D227"/>
      <c r="E227"/>
      <c r="F227"/>
      <c r="G227">
        <v>0.48</v>
      </c>
      <c r="H227" t="s">
        <v>350</v>
      </c>
      <c r="I227" t="s">
        <v>352</v>
      </c>
      <c r="J227">
        <v>100584</v>
      </c>
      <c r="K227" t="s">
        <v>669</v>
      </c>
      <c r="L227" t="s">
        <v>670</v>
      </c>
      <c r="M227" t="s">
        <v>351</v>
      </c>
    </row>
    <row r="228" spans="1:13" x14ac:dyDescent="0.25">
      <c r="A228" t="s">
        <v>511</v>
      </c>
      <c r="B228" t="s">
        <v>740</v>
      </c>
      <c r="C228" t="s">
        <v>349</v>
      </c>
      <c r="D228"/>
      <c r="E228"/>
      <c r="F228" t="s">
        <v>741</v>
      </c>
      <c r="G228">
        <v>0.49</v>
      </c>
      <c r="H228" t="s">
        <v>350</v>
      </c>
      <c r="I228" t="s">
        <v>352</v>
      </c>
      <c r="J228">
        <v>100584</v>
      </c>
      <c r="K228" t="s">
        <v>669</v>
      </c>
      <c r="L228" t="s">
        <v>670</v>
      </c>
      <c r="M228" t="s">
        <v>351</v>
      </c>
    </row>
    <row r="229" spans="1:13" x14ac:dyDescent="0.25">
      <c r="A229" t="s">
        <v>506</v>
      </c>
      <c r="B229" t="s">
        <v>743</v>
      </c>
      <c r="C229" t="s">
        <v>349</v>
      </c>
      <c r="D229"/>
      <c r="E229"/>
      <c r="F229"/>
      <c r="G229">
        <v>0.5</v>
      </c>
      <c r="H229" t="s">
        <v>350</v>
      </c>
      <c r="I229" t="s">
        <v>352</v>
      </c>
      <c r="J229">
        <v>100584</v>
      </c>
      <c r="K229" t="s">
        <v>669</v>
      </c>
      <c r="L229" t="s">
        <v>670</v>
      </c>
      <c r="M229" t="s">
        <v>351</v>
      </c>
    </row>
    <row r="230" spans="1:13" x14ac:dyDescent="0.25">
      <c r="A230" t="s">
        <v>462</v>
      </c>
      <c r="B230" t="s">
        <v>463</v>
      </c>
      <c r="C230" t="s">
        <v>349</v>
      </c>
      <c r="D230"/>
      <c r="E230"/>
      <c r="F230"/>
      <c r="G230">
        <v>0.55000000000000004</v>
      </c>
      <c r="H230" t="s">
        <v>350</v>
      </c>
      <c r="I230" t="s">
        <v>352</v>
      </c>
      <c r="J230">
        <v>100584</v>
      </c>
      <c r="K230" t="s">
        <v>669</v>
      </c>
      <c r="L230" t="s">
        <v>670</v>
      </c>
      <c r="M230" t="s">
        <v>351</v>
      </c>
    </row>
    <row r="231" spans="1:13" x14ac:dyDescent="0.25">
      <c r="A231" t="s">
        <v>435</v>
      </c>
      <c r="B231" t="s">
        <v>429</v>
      </c>
      <c r="C231" t="s">
        <v>349</v>
      </c>
      <c r="D231"/>
      <c r="E231"/>
      <c r="F231"/>
      <c r="G231">
        <v>0.56000000000000005</v>
      </c>
      <c r="H231" t="s">
        <v>410</v>
      </c>
      <c r="I231" t="s">
        <v>352</v>
      </c>
      <c r="J231">
        <v>100584</v>
      </c>
      <c r="K231" t="s">
        <v>669</v>
      </c>
      <c r="L231" t="s">
        <v>670</v>
      </c>
      <c r="M231" t="s">
        <v>351</v>
      </c>
    </row>
    <row r="232" spans="1:13" x14ac:dyDescent="0.25">
      <c r="A232" t="s">
        <v>462</v>
      </c>
      <c r="B232" t="s">
        <v>745</v>
      </c>
      <c r="C232" t="s">
        <v>349</v>
      </c>
      <c r="D232"/>
      <c r="E232"/>
      <c r="F232"/>
      <c r="G232">
        <v>0.59</v>
      </c>
      <c r="H232" t="s">
        <v>350</v>
      </c>
      <c r="I232" t="s">
        <v>352</v>
      </c>
      <c r="J232">
        <v>100584</v>
      </c>
      <c r="K232" t="s">
        <v>669</v>
      </c>
      <c r="L232" t="s">
        <v>670</v>
      </c>
      <c r="M232" t="s">
        <v>351</v>
      </c>
    </row>
    <row r="233" spans="1:13" x14ac:dyDescent="0.25">
      <c r="A233" t="s">
        <v>511</v>
      </c>
      <c r="B233" t="s">
        <v>512</v>
      </c>
      <c r="C233" t="s">
        <v>349</v>
      </c>
      <c r="D233"/>
      <c r="E233"/>
      <c r="F233" s="30" t="s">
        <v>741</v>
      </c>
      <c r="G233">
        <v>0.62</v>
      </c>
      <c r="H233" t="s">
        <v>350</v>
      </c>
      <c r="I233" t="s">
        <v>352</v>
      </c>
      <c r="J233">
        <v>100584</v>
      </c>
      <c r="K233" t="s">
        <v>669</v>
      </c>
      <c r="L233" t="s">
        <v>670</v>
      </c>
      <c r="M233" t="s">
        <v>351</v>
      </c>
    </row>
    <row r="234" spans="1:13" x14ac:dyDescent="0.25">
      <c r="A234" t="s">
        <v>517</v>
      </c>
      <c r="B234"/>
      <c r="C234" t="s">
        <v>349</v>
      </c>
      <c r="D234"/>
      <c r="E234"/>
      <c r="F234"/>
      <c r="G234">
        <v>0.77</v>
      </c>
      <c r="H234" t="s">
        <v>350</v>
      </c>
      <c r="I234" t="s">
        <v>352</v>
      </c>
      <c r="J234">
        <v>100584</v>
      </c>
      <c r="K234" t="s">
        <v>669</v>
      </c>
      <c r="L234" t="s">
        <v>670</v>
      </c>
      <c r="M234" t="s">
        <v>351</v>
      </c>
    </row>
    <row r="235" spans="1:13" x14ac:dyDescent="0.25">
      <c r="A235" t="s">
        <v>487</v>
      </c>
      <c r="B235" t="s">
        <v>525</v>
      </c>
      <c r="C235" t="s">
        <v>349</v>
      </c>
      <c r="D235"/>
      <c r="E235"/>
      <c r="F235"/>
      <c r="G235">
        <v>0.77</v>
      </c>
      <c r="H235" t="s">
        <v>350</v>
      </c>
      <c r="I235" t="s">
        <v>352</v>
      </c>
      <c r="J235">
        <v>100584</v>
      </c>
      <c r="K235" t="s">
        <v>669</v>
      </c>
      <c r="L235" t="s">
        <v>670</v>
      </c>
      <c r="M235" t="s">
        <v>351</v>
      </c>
    </row>
    <row r="236" spans="1:13" x14ac:dyDescent="0.25">
      <c r="A236" t="s">
        <v>444</v>
      </c>
      <c r="B236"/>
      <c r="C236" t="s">
        <v>349</v>
      </c>
      <c r="D236"/>
      <c r="E236"/>
      <c r="F236" t="s">
        <v>641</v>
      </c>
      <c r="G236">
        <v>0.85</v>
      </c>
      <c r="H236" t="s">
        <v>350</v>
      </c>
      <c r="I236" t="s">
        <v>352</v>
      </c>
      <c r="J236">
        <v>100584</v>
      </c>
      <c r="K236" t="s">
        <v>669</v>
      </c>
      <c r="L236" t="s">
        <v>670</v>
      </c>
      <c r="M236" t="s">
        <v>351</v>
      </c>
    </row>
    <row r="237" spans="1:13" x14ac:dyDescent="0.25">
      <c r="A237" t="s">
        <v>376</v>
      </c>
      <c r="B237"/>
      <c r="C237" t="s">
        <v>349</v>
      </c>
      <c r="D237"/>
      <c r="E237"/>
      <c r="F237"/>
      <c r="G237">
        <v>0.88</v>
      </c>
      <c r="H237" t="s">
        <v>350</v>
      </c>
      <c r="I237" t="s">
        <v>352</v>
      </c>
      <c r="J237">
        <v>100584</v>
      </c>
      <c r="K237" t="s">
        <v>669</v>
      </c>
      <c r="L237" t="s">
        <v>670</v>
      </c>
      <c r="M237" t="s">
        <v>351</v>
      </c>
    </row>
    <row r="238" spans="1:13" x14ac:dyDescent="0.25">
      <c r="A238" t="s">
        <v>371</v>
      </c>
      <c r="B238" t="s">
        <v>381</v>
      </c>
      <c r="C238" t="s">
        <v>349</v>
      </c>
      <c r="D238"/>
      <c r="E238"/>
      <c r="F238" t="s">
        <v>710</v>
      </c>
      <c r="G238">
        <v>0.9</v>
      </c>
      <c r="H238" t="s">
        <v>350</v>
      </c>
      <c r="I238" t="s">
        <v>352</v>
      </c>
      <c r="J238">
        <v>100584</v>
      </c>
      <c r="K238" t="s">
        <v>669</v>
      </c>
      <c r="L238" t="s">
        <v>670</v>
      </c>
      <c r="M238" t="s">
        <v>351</v>
      </c>
    </row>
    <row r="239" spans="1:13" x14ac:dyDescent="0.25">
      <c r="A239" t="s">
        <v>462</v>
      </c>
      <c r="B239" t="s">
        <v>467</v>
      </c>
      <c r="C239" t="s">
        <v>349</v>
      </c>
      <c r="D239"/>
      <c r="E239"/>
      <c r="F239"/>
      <c r="G239">
        <v>1</v>
      </c>
      <c r="H239" t="s">
        <v>350</v>
      </c>
      <c r="I239" t="s">
        <v>352</v>
      </c>
      <c r="J239">
        <v>100584</v>
      </c>
      <c r="K239" t="s">
        <v>669</v>
      </c>
      <c r="L239" t="s">
        <v>670</v>
      </c>
      <c r="M239" t="s">
        <v>351</v>
      </c>
    </row>
    <row r="240" spans="1:13" x14ac:dyDescent="0.25">
      <c r="A240" t="s">
        <v>371</v>
      </c>
      <c r="B240" t="s">
        <v>381</v>
      </c>
      <c r="C240" t="s">
        <v>349</v>
      </c>
      <c r="D240"/>
      <c r="E240"/>
      <c r="F240" t="s">
        <v>738</v>
      </c>
      <c r="G240">
        <v>1</v>
      </c>
      <c r="H240" t="s">
        <v>350</v>
      </c>
      <c r="I240" t="s">
        <v>352</v>
      </c>
      <c r="J240">
        <v>100584</v>
      </c>
      <c r="K240" t="s">
        <v>669</v>
      </c>
      <c r="L240" t="s">
        <v>670</v>
      </c>
      <c r="M240" t="s">
        <v>351</v>
      </c>
    </row>
    <row r="241" spans="1:13" x14ac:dyDescent="0.25">
      <c r="A241" t="s">
        <v>371</v>
      </c>
      <c r="B241" t="s">
        <v>372</v>
      </c>
      <c r="C241" t="s">
        <v>349</v>
      </c>
      <c r="D241"/>
      <c r="E241"/>
      <c r="F241" t="s">
        <v>777</v>
      </c>
      <c r="G241">
        <v>1</v>
      </c>
      <c r="H241" t="s">
        <v>350</v>
      </c>
      <c r="I241" t="s">
        <v>352</v>
      </c>
      <c r="J241">
        <v>100584</v>
      </c>
      <c r="K241" t="s">
        <v>669</v>
      </c>
      <c r="L241" t="s">
        <v>670</v>
      </c>
      <c r="M241" t="s">
        <v>351</v>
      </c>
    </row>
    <row r="242" spans="1:13" x14ac:dyDescent="0.25">
      <c r="A242" t="s">
        <v>453</v>
      </c>
      <c r="B242" t="s">
        <v>454</v>
      </c>
      <c r="C242" t="s">
        <v>349</v>
      </c>
      <c r="D242"/>
      <c r="E242"/>
      <c r="F242"/>
      <c r="G242">
        <v>1.01</v>
      </c>
      <c r="H242" t="s">
        <v>410</v>
      </c>
      <c r="I242" t="s">
        <v>352</v>
      </c>
      <c r="J242">
        <v>100584</v>
      </c>
      <c r="K242" t="s">
        <v>669</v>
      </c>
      <c r="L242" t="s">
        <v>670</v>
      </c>
      <c r="M242" t="s">
        <v>351</v>
      </c>
    </row>
    <row r="243" spans="1:13" x14ac:dyDescent="0.25">
      <c r="A243" t="s">
        <v>409</v>
      </c>
      <c r="B243"/>
      <c r="C243" t="s">
        <v>349</v>
      </c>
      <c r="D243"/>
      <c r="E243"/>
      <c r="F243" t="s">
        <v>778</v>
      </c>
      <c r="G243">
        <v>1.08</v>
      </c>
      <c r="H243" t="s">
        <v>593</v>
      </c>
      <c r="I243" t="s">
        <v>352</v>
      </c>
      <c r="J243">
        <v>100584</v>
      </c>
      <c r="K243" t="s">
        <v>669</v>
      </c>
      <c r="L243" t="s">
        <v>670</v>
      </c>
      <c r="M243" t="s">
        <v>351</v>
      </c>
    </row>
    <row r="244" spans="1:13" x14ac:dyDescent="0.25">
      <c r="A244" t="s">
        <v>436</v>
      </c>
      <c r="B244"/>
      <c r="C244" t="s">
        <v>349</v>
      </c>
      <c r="D244"/>
      <c r="E244"/>
      <c r="F244" t="s">
        <v>749</v>
      </c>
      <c r="G244">
        <v>1.1599999999999999</v>
      </c>
      <c r="H244" t="s">
        <v>427</v>
      </c>
      <c r="I244" t="s">
        <v>352</v>
      </c>
      <c r="J244">
        <v>100584</v>
      </c>
      <c r="K244" t="s">
        <v>669</v>
      </c>
      <c r="L244" t="s">
        <v>670</v>
      </c>
      <c r="M244" t="s">
        <v>351</v>
      </c>
    </row>
    <row r="245" spans="1:13" x14ac:dyDescent="0.25">
      <c r="A245" t="s">
        <v>469</v>
      </c>
      <c r="B245" t="s">
        <v>470</v>
      </c>
      <c r="C245" t="s">
        <v>349</v>
      </c>
      <c r="D245"/>
      <c r="E245"/>
      <c r="F245"/>
      <c r="G245">
        <v>1.1599999999999999</v>
      </c>
      <c r="H245" t="s">
        <v>350</v>
      </c>
      <c r="I245" t="s">
        <v>352</v>
      </c>
      <c r="J245">
        <v>100584</v>
      </c>
      <c r="K245" t="s">
        <v>669</v>
      </c>
      <c r="L245" t="s">
        <v>670</v>
      </c>
      <c r="M245" t="s">
        <v>351</v>
      </c>
    </row>
    <row r="246" spans="1:13" x14ac:dyDescent="0.25">
      <c r="A246" t="s">
        <v>495</v>
      </c>
      <c r="B246" t="s">
        <v>548</v>
      </c>
      <c r="C246" t="s">
        <v>349</v>
      </c>
      <c r="D246"/>
      <c r="E246"/>
      <c r="F246"/>
      <c r="G246">
        <v>1.22</v>
      </c>
      <c r="H246" t="s">
        <v>350</v>
      </c>
      <c r="I246" t="s">
        <v>352</v>
      </c>
      <c r="J246">
        <v>100584</v>
      </c>
      <c r="K246" t="s">
        <v>669</v>
      </c>
      <c r="L246" t="s">
        <v>670</v>
      </c>
      <c r="M246" t="s">
        <v>351</v>
      </c>
    </row>
    <row r="247" spans="1:13" x14ac:dyDescent="0.25">
      <c r="A247" t="s">
        <v>472</v>
      </c>
      <c r="B247"/>
      <c r="C247" t="s">
        <v>349</v>
      </c>
      <c r="D247"/>
      <c r="E247"/>
      <c r="F247" t="s">
        <v>790</v>
      </c>
      <c r="G247">
        <v>1.4</v>
      </c>
      <c r="H247" t="s">
        <v>427</v>
      </c>
      <c r="I247" t="s">
        <v>352</v>
      </c>
      <c r="J247">
        <v>100584</v>
      </c>
      <c r="K247" t="s">
        <v>669</v>
      </c>
      <c r="L247" t="s">
        <v>670</v>
      </c>
      <c r="M247" t="s">
        <v>351</v>
      </c>
    </row>
    <row r="248" spans="1:13" x14ac:dyDescent="0.25">
      <c r="A248" t="s">
        <v>444</v>
      </c>
      <c r="B248"/>
      <c r="C248" t="s">
        <v>349</v>
      </c>
      <c r="D248"/>
      <c r="E248"/>
      <c r="F248" t="s">
        <v>795</v>
      </c>
      <c r="G248">
        <v>1.8</v>
      </c>
      <c r="H248" t="s">
        <v>410</v>
      </c>
      <c r="I248" t="s">
        <v>352</v>
      </c>
      <c r="J248">
        <v>100584</v>
      </c>
      <c r="K248" t="s">
        <v>669</v>
      </c>
      <c r="L248" t="s">
        <v>670</v>
      </c>
      <c r="M248" t="s">
        <v>351</v>
      </c>
    </row>
    <row r="249" spans="1:13" x14ac:dyDescent="0.25">
      <c r="A249" t="s">
        <v>453</v>
      </c>
      <c r="B249" t="s">
        <v>455</v>
      </c>
      <c r="C249" t="s">
        <v>349</v>
      </c>
      <c r="D249"/>
      <c r="E249"/>
      <c r="F249"/>
      <c r="G249">
        <v>2</v>
      </c>
      <c r="H249" t="s">
        <v>427</v>
      </c>
      <c r="I249" t="s">
        <v>352</v>
      </c>
      <c r="J249">
        <v>100584</v>
      </c>
      <c r="K249" t="s">
        <v>669</v>
      </c>
      <c r="L249" t="s">
        <v>670</v>
      </c>
      <c r="M249" t="s">
        <v>351</v>
      </c>
    </row>
    <row r="250" spans="1:13" x14ac:dyDescent="0.25">
      <c r="A250" t="s">
        <v>357</v>
      </c>
      <c r="B250" t="s">
        <v>522</v>
      </c>
      <c r="C250" t="s">
        <v>349</v>
      </c>
      <c r="D250"/>
      <c r="E250" t="s">
        <v>340</v>
      </c>
      <c r="F250"/>
      <c r="G250">
        <v>2.04</v>
      </c>
      <c r="H250" t="s">
        <v>427</v>
      </c>
      <c r="I250" t="s">
        <v>352</v>
      </c>
      <c r="J250">
        <v>100584</v>
      </c>
      <c r="K250" t="s">
        <v>669</v>
      </c>
      <c r="L250" t="s">
        <v>670</v>
      </c>
      <c r="M250" t="s">
        <v>351</v>
      </c>
    </row>
    <row r="251" spans="1:13" x14ac:dyDescent="0.25">
      <c r="A251" t="s">
        <v>413</v>
      </c>
      <c r="B251"/>
      <c r="C251" t="s">
        <v>349</v>
      </c>
      <c r="D251"/>
      <c r="E251"/>
      <c r="F251" t="s">
        <v>810</v>
      </c>
      <c r="G251">
        <v>2.81</v>
      </c>
      <c r="H251" t="s">
        <v>556</v>
      </c>
      <c r="I251" t="s">
        <v>352</v>
      </c>
      <c r="J251">
        <v>100584</v>
      </c>
      <c r="K251" t="s">
        <v>669</v>
      </c>
      <c r="L251" t="s">
        <v>670</v>
      </c>
      <c r="M251" t="s">
        <v>351</v>
      </c>
    </row>
    <row r="252" spans="1:13" x14ac:dyDescent="0.25">
      <c r="A252" t="s">
        <v>483</v>
      </c>
      <c r="B252"/>
      <c r="C252" t="s">
        <v>349</v>
      </c>
      <c r="D252"/>
      <c r="E252"/>
      <c r="F252" t="s">
        <v>821</v>
      </c>
      <c r="G252">
        <v>3.24</v>
      </c>
      <c r="H252" t="s">
        <v>479</v>
      </c>
      <c r="I252" t="s">
        <v>352</v>
      </c>
      <c r="J252">
        <v>100584</v>
      </c>
      <c r="K252" t="s">
        <v>669</v>
      </c>
      <c r="L252" t="s">
        <v>670</v>
      </c>
      <c r="M252" t="s">
        <v>351</v>
      </c>
    </row>
    <row r="253" spans="1:13" x14ac:dyDescent="0.25">
      <c r="A253" t="s">
        <v>699</v>
      </c>
      <c r="B253"/>
      <c r="C253" t="s">
        <v>349</v>
      </c>
      <c r="D253"/>
      <c r="E253"/>
      <c r="F253" t="s">
        <v>704</v>
      </c>
      <c r="G253">
        <v>3.34</v>
      </c>
      <c r="H253" t="s">
        <v>410</v>
      </c>
      <c r="I253" t="s">
        <v>352</v>
      </c>
      <c r="J253">
        <v>100584</v>
      </c>
      <c r="K253" t="s">
        <v>669</v>
      </c>
      <c r="L253" t="s">
        <v>670</v>
      </c>
      <c r="M253" t="s">
        <v>351</v>
      </c>
    </row>
    <row r="254" spans="1:13" x14ac:dyDescent="0.25">
      <c r="A254" t="s">
        <v>517</v>
      </c>
      <c r="B254"/>
      <c r="C254" t="s">
        <v>349</v>
      </c>
      <c r="D254"/>
      <c r="E254"/>
      <c r="F254"/>
      <c r="G254">
        <v>4.75</v>
      </c>
      <c r="H254" t="s">
        <v>488</v>
      </c>
      <c r="I254" t="s">
        <v>352</v>
      </c>
      <c r="J254">
        <v>100584</v>
      </c>
      <c r="K254" t="s">
        <v>669</v>
      </c>
      <c r="L254" t="s">
        <v>670</v>
      </c>
      <c r="M254" t="s">
        <v>351</v>
      </c>
    </row>
    <row r="255" spans="1:13" x14ac:dyDescent="0.25">
      <c r="A255" t="s">
        <v>527</v>
      </c>
      <c r="B255"/>
      <c r="C255" t="s">
        <v>349</v>
      </c>
      <c r="D255"/>
      <c r="E255"/>
      <c r="F255"/>
      <c r="G255">
        <v>4.75</v>
      </c>
      <c r="H255" t="s">
        <v>488</v>
      </c>
      <c r="I255" t="s">
        <v>352</v>
      </c>
      <c r="J255">
        <v>100584</v>
      </c>
      <c r="K255" t="s">
        <v>669</v>
      </c>
      <c r="L255" t="s">
        <v>670</v>
      </c>
      <c r="M255" t="s">
        <v>351</v>
      </c>
    </row>
    <row r="256" spans="1:13" x14ac:dyDescent="0.25">
      <c r="A256" t="s">
        <v>468</v>
      </c>
      <c r="B256" t="s">
        <v>463</v>
      </c>
      <c r="C256" t="s">
        <v>349</v>
      </c>
      <c r="D256"/>
      <c r="E256"/>
      <c r="F256" t="s">
        <v>829</v>
      </c>
      <c r="G256">
        <v>4.8899999999999997</v>
      </c>
      <c r="H256" t="s">
        <v>480</v>
      </c>
      <c r="I256" t="s">
        <v>352</v>
      </c>
      <c r="J256">
        <v>100584</v>
      </c>
      <c r="K256" t="s">
        <v>669</v>
      </c>
      <c r="L256" t="s">
        <v>670</v>
      </c>
      <c r="M256" t="s">
        <v>351</v>
      </c>
    </row>
    <row r="257" spans="1:13" x14ac:dyDescent="0.25">
      <c r="A257" t="s">
        <v>564</v>
      </c>
      <c r="B257"/>
      <c r="C257" t="s">
        <v>349</v>
      </c>
      <c r="D257"/>
      <c r="E257"/>
      <c r="F257"/>
      <c r="G257">
        <v>7.08</v>
      </c>
      <c r="H257" t="s">
        <v>350</v>
      </c>
      <c r="I257" t="s">
        <v>352</v>
      </c>
      <c r="J257">
        <v>100584</v>
      </c>
      <c r="K257" t="s">
        <v>669</v>
      </c>
      <c r="L257" t="s">
        <v>670</v>
      </c>
      <c r="M257" t="s">
        <v>351</v>
      </c>
    </row>
    <row r="258" spans="1:13" x14ac:dyDescent="0.25">
      <c r="A258" t="s">
        <v>444</v>
      </c>
      <c r="B258"/>
      <c r="C258" t="s">
        <v>349</v>
      </c>
      <c r="D258"/>
      <c r="E258"/>
      <c r="F258" t="s">
        <v>823</v>
      </c>
      <c r="G258">
        <v>7.82</v>
      </c>
      <c r="H258" t="s">
        <v>354</v>
      </c>
      <c r="I258" t="s">
        <v>352</v>
      </c>
      <c r="J258">
        <v>100584</v>
      </c>
      <c r="K258" t="s">
        <v>669</v>
      </c>
      <c r="L258" t="s">
        <v>670</v>
      </c>
      <c r="M258" t="s">
        <v>351</v>
      </c>
    </row>
    <row r="259" spans="1:13" x14ac:dyDescent="0.25">
      <c r="A259" t="s">
        <v>484</v>
      </c>
      <c r="B259"/>
      <c r="C259" t="s">
        <v>349</v>
      </c>
      <c r="D259"/>
      <c r="E259"/>
      <c r="F259" t="s">
        <v>827</v>
      </c>
      <c r="G259">
        <v>8.0399999999999991</v>
      </c>
      <c r="H259" t="s">
        <v>541</v>
      </c>
      <c r="I259" t="s">
        <v>352</v>
      </c>
      <c r="J259">
        <v>100584</v>
      </c>
      <c r="K259" t="s">
        <v>669</v>
      </c>
      <c r="L259" t="s">
        <v>670</v>
      </c>
      <c r="M259" t="s">
        <v>351</v>
      </c>
    </row>
    <row r="260" spans="1:13" x14ac:dyDescent="0.25">
      <c r="A260" t="s">
        <v>472</v>
      </c>
      <c r="B260"/>
      <c r="C260" t="s">
        <v>349</v>
      </c>
      <c r="D260"/>
      <c r="E260"/>
      <c r="F260" t="s">
        <v>689</v>
      </c>
      <c r="G260">
        <v>12.81</v>
      </c>
      <c r="H260" t="s">
        <v>354</v>
      </c>
      <c r="I260" t="s">
        <v>352</v>
      </c>
      <c r="J260">
        <v>100584</v>
      </c>
      <c r="K260" t="s">
        <v>669</v>
      </c>
      <c r="L260" t="s">
        <v>670</v>
      </c>
      <c r="M260" t="s">
        <v>351</v>
      </c>
    </row>
    <row r="261" spans="1:13" x14ac:dyDescent="0.25">
      <c r="A261" t="s">
        <v>453</v>
      </c>
      <c r="B261" t="s">
        <v>532</v>
      </c>
      <c r="C261" t="s">
        <v>349</v>
      </c>
      <c r="D261"/>
      <c r="E261"/>
      <c r="F261"/>
      <c r="G261">
        <v>13.7</v>
      </c>
      <c r="H261" t="s">
        <v>427</v>
      </c>
      <c r="I261" t="s">
        <v>352</v>
      </c>
      <c r="J261">
        <v>100584</v>
      </c>
      <c r="K261" t="s">
        <v>669</v>
      </c>
      <c r="L261" t="s">
        <v>670</v>
      </c>
      <c r="M261" t="s">
        <v>351</v>
      </c>
    </row>
    <row r="262" spans="1:13" x14ac:dyDescent="0.25">
      <c r="A262" t="s">
        <v>462</v>
      </c>
      <c r="B262" t="s">
        <v>581</v>
      </c>
      <c r="C262" t="s">
        <v>349</v>
      </c>
      <c r="D262"/>
      <c r="E262"/>
      <c r="F262"/>
      <c r="G262">
        <v>31.4</v>
      </c>
      <c r="H262" t="s">
        <v>605</v>
      </c>
      <c r="I262" t="s">
        <v>352</v>
      </c>
      <c r="J262">
        <v>100584</v>
      </c>
      <c r="K262" t="s">
        <v>669</v>
      </c>
      <c r="L262" t="s">
        <v>670</v>
      </c>
      <c r="M262" t="s">
        <v>351</v>
      </c>
    </row>
    <row r="263" spans="1:13" x14ac:dyDescent="0.25">
      <c r="A263" t="s">
        <v>546</v>
      </c>
      <c r="B263"/>
      <c r="C263" t="s">
        <v>349</v>
      </c>
      <c r="D263"/>
      <c r="E263"/>
      <c r="F263"/>
      <c r="G263">
        <v>53.98</v>
      </c>
      <c r="H263" t="s">
        <v>619</v>
      </c>
      <c r="I263" t="s">
        <v>352</v>
      </c>
      <c r="J263">
        <v>100584</v>
      </c>
      <c r="K263" t="s">
        <v>669</v>
      </c>
      <c r="L263" t="s">
        <v>670</v>
      </c>
      <c r="M263" t="s">
        <v>351</v>
      </c>
    </row>
    <row r="264" spans="1:13" x14ac:dyDescent="0.25">
      <c r="A264" t="s">
        <v>432</v>
      </c>
      <c r="B264"/>
      <c r="C264" t="s">
        <v>349</v>
      </c>
      <c r="D264"/>
      <c r="E264"/>
      <c r="F264"/>
      <c r="G264">
        <v>136.26</v>
      </c>
      <c r="H264" t="s">
        <v>973</v>
      </c>
      <c r="I264" t="s">
        <v>352</v>
      </c>
      <c r="J264">
        <v>100584</v>
      </c>
      <c r="K264" t="s">
        <v>669</v>
      </c>
      <c r="L264" t="s">
        <v>670</v>
      </c>
      <c r="M264" t="s">
        <v>351</v>
      </c>
    </row>
    <row r="265" spans="1:13" x14ac:dyDescent="0.25">
      <c r="A265" t="s">
        <v>357</v>
      </c>
      <c r="B265" s="30" t="s">
        <v>1113</v>
      </c>
      <c r="C265"/>
      <c r="D265"/>
      <c r="E265" t="s">
        <v>340</v>
      </c>
      <c r="F265"/>
      <c r="G265">
        <v>42072.586000000003</v>
      </c>
      <c r="H265" t="s">
        <v>1076</v>
      </c>
      <c r="I265" t="s">
        <v>1077</v>
      </c>
      <c r="J265">
        <v>100782</v>
      </c>
      <c r="K265" t="s">
        <v>1078</v>
      </c>
      <c r="L265" t="s">
        <v>1079</v>
      </c>
      <c r="M265" t="s">
        <v>351</v>
      </c>
    </row>
    <row r="266" spans="1:13" x14ac:dyDescent="0.25">
      <c r="A266" t="s">
        <v>614</v>
      </c>
      <c r="B266" t="s">
        <v>947</v>
      </c>
      <c r="C266"/>
      <c r="D266"/>
      <c r="E266"/>
      <c r="F266"/>
      <c r="G266">
        <v>1024</v>
      </c>
      <c r="H266" t="s">
        <v>948</v>
      </c>
      <c r="I266" t="s">
        <v>949</v>
      </c>
      <c r="J266">
        <v>140002</v>
      </c>
      <c r="K266" t="s">
        <v>950</v>
      </c>
      <c r="L266" t="s">
        <v>951</v>
      </c>
      <c r="M266" t="s">
        <v>351</v>
      </c>
    </row>
    <row r="267" spans="1:13" x14ac:dyDescent="0.25">
      <c r="A267" t="s">
        <v>614</v>
      </c>
      <c r="B267" t="s">
        <v>952</v>
      </c>
      <c r="C267"/>
      <c r="D267"/>
      <c r="E267"/>
      <c r="F267"/>
      <c r="G267">
        <v>313.77</v>
      </c>
      <c r="H267" t="s">
        <v>953</v>
      </c>
      <c r="I267" t="s">
        <v>949</v>
      </c>
      <c r="J267">
        <v>140002</v>
      </c>
      <c r="K267" t="s">
        <v>950</v>
      </c>
      <c r="L267" t="s">
        <v>951</v>
      </c>
      <c r="M267" t="s">
        <v>351</v>
      </c>
    </row>
    <row r="268" spans="1:13" x14ac:dyDescent="0.25">
      <c r="A268" t="s">
        <v>357</v>
      </c>
      <c r="B268" t="s">
        <v>954</v>
      </c>
      <c r="C268"/>
      <c r="D268"/>
      <c r="E268"/>
      <c r="F268"/>
      <c r="G268">
        <v>3456</v>
      </c>
      <c r="H268" t="s">
        <v>615</v>
      </c>
      <c r="I268" t="s">
        <v>949</v>
      </c>
      <c r="J268">
        <v>140002</v>
      </c>
      <c r="K268" t="s">
        <v>950</v>
      </c>
      <c r="L268" t="s">
        <v>951</v>
      </c>
      <c r="M268" t="s">
        <v>351</v>
      </c>
    </row>
    <row r="269" spans="1:13" x14ac:dyDescent="0.25">
      <c r="A269" t="s">
        <v>357</v>
      </c>
      <c r="B269" t="s">
        <v>955</v>
      </c>
      <c r="C269"/>
      <c r="D269"/>
      <c r="E269"/>
      <c r="F269"/>
      <c r="G269">
        <v>4680</v>
      </c>
      <c r="H269" t="s">
        <v>956</v>
      </c>
      <c r="I269" t="s">
        <v>949</v>
      </c>
      <c r="J269">
        <v>140002</v>
      </c>
      <c r="K269" t="s">
        <v>950</v>
      </c>
      <c r="L269" t="s">
        <v>951</v>
      </c>
      <c r="M269" t="s">
        <v>351</v>
      </c>
    </row>
    <row r="270" spans="1:13" x14ac:dyDescent="0.25">
      <c r="A270" t="s">
        <v>357</v>
      </c>
      <c r="B270" t="s">
        <v>957</v>
      </c>
      <c r="C270"/>
      <c r="D270"/>
      <c r="E270"/>
      <c r="F270"/>
      <c r="G270">
        <v>4156.25</v>
      </c>
      <c r="H270" t="s">
        <v>956</v>
      </c>
      <c r="I270" t="s">
        <v>949</v>
      </c>
      <c r="J270">
        <v>140002</v>
      </c>
      <c r="K270" t="s">
        <v>950</v>
      </c>
      <c r="L270" t="s">
        <v>951</v>
      </c>
      <c r="M270" t="s">
        <v>351</v>
      </c>
    </row>
    <row r="271" spans="1:13" x14ac:dyDescent="0.25">
      <c r="A271" t="s">
        <v>357</v>
      </c>
      <c r="B271" t="s">
        <v>958</v>
      </c>
      <c r="C271"/>
      <c r="D271"/>
      <c r="E271"/>
      <c r="F271"/>
      <c r="G271">
        <v>5820</v>
      </c>
      <c r="H271" t="s">
        <v>633</v>
      </c>
      <c r="I271" t="s">
        <v>949</v>
      </c>
      <c r="J271">
        <v>140002</v>
      </c>
      <c r="K271" t="s">
        <v>950</v>
      </c>
      <c r="L271" t="s">
        <v>951</v>
      </c>
      <c r="M271" t="s">
        <v>351</v>
      </c>
    </row>
    <row r="272" spans="1:13" x14ac:dyDescent="0.25">
      <c r="A272" t="s">
        <v>544</v>
      </c>
      <c r="B272"/>
      <c r="C272" t="s">
        <v>349</v>
      </c>
      <c r="D272"/>
      <c r="E272"/>
      <c r="F272" t="s">
        <v>382</v>
      </c>
      <c r="G272">
        <v>6</v>
      </c>
      <c r="H272" t="s">
        <v>602</v>
      </c>
      <c r="I272" t="s">
        <v>799</v>
      </c>
      <c r="J272">
        <v>140184</v>
      </c>
      <c r="K272" t="s">
        <v>845</v>
      </c>
      <c r="L272" t="s">
        <v>834</v>
      </c>
      <c r="M272" t="s">
        <v>351</v>
      </c>
    </row>
    <row r="273" spans="1:13" x14ac:dyDescent="0.25">
      <c r="A273" t="s">
        <v>540</v>
      </c>
      <c r="B273"/>
      <c r="C273" t="s">
        <v>349</v>
      </c>
      <c r="D273"/>
      <c r="E273"/>
      <c r="F273"/>
      <c r="G273">
        <v>7</v>
      </c>
      <c r="H273" t="s">
        <v>359</v>
      </c>
      <c r="I273" t="s">
        <v>799</v>
      </c>
      <c r="J273">
        <v>140184</v>
      </c>
      <c r="K273" t="s">
        <v>845</v>
      </c>
      <c r="L273" t="s">
        <v>834</v>
      </c>
      <c r="M273" t="s">
        <v>351</v>
      </c>
    </row>
    <row r="274" spans="1:13" x14ac:dyDescent="0.25">
      <c r="A274" t="s">
        <v>353</v>
      </c>
      <c r="B274"/>
      <c r="C274"/>
      <c r="D274"/>
      <c r="E274"/>
      <c r="F274"/>
      <c r="G274">
        <v>6</v>
      </c>
      <c r="H274" t="s">
        <v>359</v>
      </c>
      <c r="I274" t="s">
        <v>799</v>
      </c>
      <c r="J274">
        <v>140184</v>
      </c>
      <c r="K274" t="s">
        <v>845</v>
      </c>
      <c r="L274" t="s">
        <v>834</v>
      </c>
      <c r="M274" t="s">
        <v>351</v>
      </c>
    </row>
    <row r="275" spans="1:13" x14ac:dyDescent="0.25">
      <c r="A275" t="s">
        <v>447</v>
      </c>
      <c r="B275"/>
      <c r="C275" t="s">
        <v>349</v>
      </c>
      <c r="D275"/>
      <c r="E275"/>
      <c r="F275" t="s">
        <v>545</v>
      </c>
      <c r="G275">
        <v>522</v>
      </c>
      <c r="H275" t="s">
        <v>604</v>
      </c>
      <c r="I275" t="s">
        <v>600</v>
      </c>
      <c r="J275">
        <v>140184</v>
      </c>
      <c r="K275" t="s">
        <v>845</v>
      </c>
      <c r="L275" t="s">
        <v>834</v>
      </c>
      <c r="M275" t="s">
        <v>351</v>
      </c>
    </row>
    <row r="276" spans="1:13" x14ac:dyDescent="0.25">
      <c r="A276" t="s">
        <v>802</v>
      </c>
      <c r="B276"/>
      <c r="C276" t="s">
        <v>349</v>
      </c>
      <c r="D276"/>
      <c r="E276"/>
      <c r="F276"/>
      <c r="G276">
        <v>2</v>
      </c>
      <c r="H276" t="s">
        <v>356</v>
      </c>
      <c r="I276" t="s">
        <v>803</v>
      </c>
      <c r="J276">
        <v>140282</v>
      </c>
      <c r="K276" t="s">
        <v>804</v>
      </c>
      <c r="L276" t="s">
        <v>805</v>
      </c>
      <c r="M276" t="s">
        <v>351</v>
      </c>
    </row>
    <row r="277" spans="1:13" x14ac:dyDescent="0.25">
      <c r="A277" t="s">
        <v>868</v>
      </c>
      <c r="B277" t="s">
        <v>869</v>
      </c>
      <c r="C277" t="s">
        <v>349</v>
      </c>
      <c r="D277"/>
      <c r="E277"/>
      <c r="F277"/>
      <c r="G277">
        <v>10</v>
      </c>
      <c r="H277" t="s">
        <v>364</v>
      </c>
      <c r="I277" t="s">
        <v>817</v>
      </c>
      <c r="J277">
        <v>140282</v>
      </c>
      <c r="K277" t="s">
        <v>804</v>
      </c>
      <c r="L277" t="s">
        <v>805</v>
      </c>
      <c r="M277" t="s">
        <v>351</v>
      </c>
    </row>
    <row r="278" spans="1:13" x14ac:dyDescent="0.25">
      <c r="A278" t="s">
        <v>408</v>
      </c>
      <c r="B278"/>
      <c r="C278" t="s">
        <v>349</v>
      </c>
      <c r="D278"/>
      <c r="E278"/>
      <c r="F278" t="s">
        <v>473</v>
      </c>
      <c r="G278">
        <v>658</v>
      </c>
      <c r="H278" t="s">
        <v>630</v>
      </c>
      <c r="I278" t="s">
        <v>817</v>
      </c>
      <c r="J278">
        <v>140282</v>
      </c>
      <c r="K278" t="s">
        <v>804</v>
      </c>
      <c r="L278" t="s">
        <v>805</v>
      </c>
      <c r="M278" t="s">
        <v>351</v>
      </c>
    </row>
    <row r="279" spans="1:13" x14ac:dyDescent="0.25">
      <c r="A279" t="s">
        <v>484</v>
      </c>
      <c r="B279"/>
      <c r="C279"/>
      <c r="D279"/>
      <c r="E279"/>
      <c r="F279" t="s">
        <v>425</v>
      </c>
      <c r="G279">
        <v>38</v>
      </c>
      <c r="H279" t="s">
        <v>524</v>
      </c>
      <c r="I279" t="s">
        <v>817</v>
      </c>
      <c r="J279">
        <v>140282</v>
      </c>
      <c r="K279" t="s">
        <v>804</v>
      </c>
      <c r="L279" t="s">
        <v>805</v>
      </c>
      <c r="M279" t="s">
        <v>351</v>
      </c>
    </row>
    <row r="280" spans="1:13" x14ac:dyDescent="0.25">
      <c r="A280" t="s">
        <v>589</v>
      </c>
      <c r="B280"/>
      <c r="C280"/>
      <c r="D280"/>
      <c r="E280"/>
      <c r="F280"/>
      <c r="G280">
        <v>189000</v>
      </c>
      <c r="H280" t="s">
        <v>1070</v>
      </c>
      <c r="I280" t="s">
        <v>817</v>
      </c>
      <c r="J280">
        <v>140282</v>
      </c>
      <c r="K280" t="s">
        <v>804</v>
      </c>
      <c r="L280" t="s">
        <v>805</v>
      </c>
      <c r="M280" t="s">
        <v>351</v>
      </c>
    </row>
    <row r="281" spans="1:13" x14ac:dyDescent="0.25">
      <c r="A281" t="s">
        <v>557</v>
      </c>
      <c r="B281"/>
      <c r="C281"/>
      <c r="D281"/>
      <c r="E281"/>
      <c r="F281"/>
      <c r="G281">
        <v>170</v>
      </c>
      <c r="H281" t="s">
        <v>359</v>
      </c>
      <c r="I281" t="s">
        <v>817</v>
      </c>
      <c r="J281">
        <v>140282</v>
      </c>
      <c r="K281" t="s">
        <v>804</v>
      </c>
      <c r="L281" t="s">
        <v>805</v>
      </c>
      <c r="M281" t="s">
        <v>351</v>
      </c>
    </row>
    <row r="282" spans="1:13" x14ac:dyDescent="0.25">
      <c r="A282" t="s">
        <v>462</v>
      </c>
      <c r="B282" t="s">
        <v>467</v>
      </c>
      <c r="C282" t="s">
        <v>349</v>
      </c>
      <c r="D282"/>
      <c r="E282"/>
      <c r="F282"/>
      <c r="G282">
        <v>435.84</v>
      </c>
      <c r="H282" t="s">
        <v>636</v>
      </c>
      <c r="I282" t="s">
        <v>967</v>
      </c>
      <c r="J282">
        <v>140312</v>
      </c>
      <c r="K282" t="s">
        <v>1000</v>
      </c>
      <c r="L282" t="s">
        <v>1001</v>
      </c>
      <c r="M282" t="s">
        <v>351</v>
      </c>
    </row>
    <row r="283" spans="1:13" x14ac:dyDescent="0.25">
      <c r="A283" t="s">
        <v>432</v>
      </c>
      <c r="B283"/>
      <c r="C283" t="s">
        <v>349</v>
      </c>
      <c r="D283"/>
      <c r="E283"/>
      <c r="F283"/>
      <c r="G283">
        <v>1325.94</v>
      </c>
      <c r="H283" t="s">
        <v>1024</v>
      </c>
      <c r="I283" t="s">
        <v>967</v>
      </c>
      <c r="J283">
        <v>140312</v>
      </c>
      <c r="K283" t="s">
        <v>1000</v>
      </c>
      <c r="L283" t="s">
        <v>1001</v>
      </c>
      <c r="M283" t="s">
        <v>351</v>
      </c>
    </row>
    <row r="284" spans="1:13" x14ac:dyDescent="0.25">
      <c r="A284" t="s">
        <v>408</v>
      </c>
      <c r="B284"/>
      <c r="C284" t="s">
        <v>349</v>
      </c>
      <c r="D284"/>
      <c r="E284"/>
      <c r="F284" t="s">
        <v>500</v>
      </c>
      <c r="G284">
        <v>9</v>
      </c>
      <c r="H284" t="s">
        <v>367</v>
      </c>
      <c r="I284" t="s">
        <v>796</v>
      </c>
      <c r="J284">
        <v>140382</v>
      </c>
      <c r="K284" t="s">
        <v>863</v>
      </c>
      <c r="L284" t="s">
        <v>798</v>
      </c>
      <c r="M284" t="s">
        <v>351</v>
      </c>
    </row>
    <row r="285" spans="1:13" x14ac:dyDescent="0.25">
      <c r="A285" t="s">
        <v>432</v>
      </c>
      <c r="B285"/>
      <c r="C285" t="s">
        <v>349</v>
      </c>
      <c r="D285"/>
      <c r="E285"/>
      <c r="F285"/>
      <c r="G285">
        <v>194.75</v>
      </c>
      <c r="H285" t="s">
        <v>982</v>
      </c>
      <c r="I285" t="s">
        <v>967</v>
      </c>
      <c r="J285">
        <v>140506</v>
      </c>
      <c r="K285" t="s">
        <v>983</v>
      </c>
      <c r="L285" t="s">
        <v>984</v>
      </c>
      <c r="M285" t="s">
        <v>351</v>
      </c>
    </row>
    <row r="286" spans="1:13" x14ac:dyDescent="0.25">
      <c r="A286" t="s">
        <v>646</v>
      </c>
      <c r="B286"/>
      <c r="C286"/>
      <c r="D286"/>
      <c r="E286"/>
      <c r="F286"/>
      <c r="G286">
        <v>48</v>
      </c>
      <c r="H286" t="s">
        <v>616</v>
      </c>
      <c r="I286" t="s">
        <v>916</v>
      </c>
      <c r="J286">
        <v>140602</v>
      </c>
      <c r="K286" t="s">
        <v>917</v>
      </c>
      <c r="L286" t="s">
        <v>918</v>
      </c>
      <c r="M286" t="s">
        <v>351</v>
      </c>
    </row>
    <row r="287" spans="1:13" x14ac:dyDescent="0.25">
      <c r="A287" t="s">
        <v>919</v>
      </c>
      <c r="B287" t="s">
        <v>920</v>
      </c>
      <c r="C287"/>
      <c r="D287"/>
      <c r="E287"/>
      <c r="F287"/>
      <c r="G287">
        <v>54</v>
      </c>
      <c r="H287" t="s">
        <v>364</v>
      </c>
      <c r="I287" t="s">
        <v>921</v>
      </c>
      <c r="J287">
        <v>140602</v>
      </c>
      <c r="K287" t="s">
        <v>917</v>
      </c>
      <c r="L287" t="s">
        <v>918</v>
      </c>
      <c r="M287" t="s">
        <v>351</v>
      </c>
    </row>
    <row r="288" spans="1:13" x14ac:dyDescent="0.25">
      <c r="A288" t="s">
        <v>357</v>
      </c>
      <c r="B288" t="s">
        <v>922</v>
      </c>
      <c r="C288"/>
      <c r="D288"/>
      <c r="E288"/>
      <c r="F288"/>
      <c r="G288">
        <v>70</v>
      </c>
      <c r="H288" t="s">
        <v>364</v>
      </c>
      <c r="I288" t="s">
        <v>923</v>
      </c>
      <c r="J288">
        <v>140602</v>
      </c>
      <c r="K288" t="s">
        <v>917</v>
      </c>
      <c r="L288" t="s">
        <v>918</v>
      </c>
      <c r="M288" t="s">
        <v>351</v>
      </c>
    </row>
    <row r="289" spans="1:13" x14ac:dyDescent="0.25">
      <c r="A289" t="s">
        <v>396</v>
      </c>
      <c r="B289"/>
      <c r="C289"/>
      <c r="D289"/>
      <c r="E289"/>
      <c r="F289"/>
      <c r="G289">
        <v>1724</v>
      </c>
      <c r="H289" t="s">
        <v>364</v>
      </c>
      <c r="I289" t="s">
        <v>924</v>
      </c>
      <c r="J289">
        <v>140602</v>
      </c>
      <c r="K289" t="s">
        <v>917</v>
      </c>
      <c r="L289" t="s">
        <v>918</v>
      </c>
      <c r="M289" t="s">
        <v>351</v>
      </c>
    </row>
    <row r="290" spans="1:13" x14ac:dyDescent="0.25">
      <c r="A290" t="s">
        <v>432</v>
      </c>
      <c r="B290"/>
      <c r="C290" t="s">
        <v>349</v>
      </c>
      <c r="D290"/>
      <c r="E290"/>
      <c r="F290"/>
      <c r="G290">
        <v>10</v>
      </c>
      <c r="H290" t="s">
        <v>356</v>
      </c>
      <c r="I290" t="s">
        <v>865</v>
      </c>
      <c r="J290">
        <v>140604</v>
      </c>
      <c r="K290" t="s">
        <v>866</v>
      </c>
      <c r="L290" t="s">
        <v>867</v>
      </c>
      <c r="M290" t="s">
        <v>351</v>
      </c>
    </row>
    <row r="291" spans="1:13" x14ac:dyDescent="0.25">
      <c r="A291" t="s">
        <v>432</v>
      </c>
      <c r="B291"/>
      <c r="C291" t="s">
        <v>349</v>
      </c>
      <c r="D291"/>
      <c r="E291"/>
      <c r="F291"/>
      <c r="G291">
        <v>10</v>
      </c>
      <c r="H291" t="s">
        <v>356</v>
      </c>
      <c r="I291" t="s">
        <v>571</v>
      </c>
      <c r="J291">
        <v>140604</v>
      </c>
      <c r="K291" t="s">
        <v>866</v>
      </c>
      <c r="L291" t="s">
        <v>867</v>
      </c>
      <c r="M291" t="s">
        <v>351</v>
      </c>
    </row>
    <row r="292" spans="1:13" x14ac:dyDescent="0.25">
      <c r="A292" t="s">
        <v>432</v>
      </c>
      <c r="B292"/>
      <c r="C292" t="s">
        <v>349</v>
      </c>
      <c r="D292"/>
      <c r="E292"/>
      <c r="F292"/>
      <c r="G292">
        <v>20</v>
      </c>
      <c r="H292" t="s">
        <v>364</v>
      </c>
      <c r="I292" t="s">
        <v>570</v>
      </c>
      <c r="J292">
        <v>140604</v>
      </c>
      <c r="K292" t="s">
        <v>866</v>
      </c>
      <c r="L292" t="s">
        <v>867</v>
      </c>
      <c r="M292" t="s">
        <v>351</v>
      </c>
    </row>
    <row r="293" spans="1:13" x14ac:dyDescent="0.25">
      <c r="A293" t="s">
        <v>357</v>
      </c>
      <c r="B293" t="s">
        <v>592</v>
      </c>
      <c r="C293" t="s">
        <v>349</v>
      </c>
      <c r="D293"/>
      <c r="E293"/>
      <c r="F293"/>
      <c r="G293">
        <v>20</v>
      </c>
      <c r="H293" t="s">
        <v>364</v>
      </c>
      <c r="I293" t="s">
        <v>865</v>
      </c>
      <c r="J293">
        <v>140604</v>
      </c>
      <c r="K293" t="s">
        <v>866</v>
      </c>
      <c r="L293" t="s">
        <v>867</v>
      </c>
      <c r="M293" t="s">
        <v>351</v>
      </c>
    </row>
    <row r="294" spans="1:13" x14ac:dyDescent="0.25">
      <c r="A294" t="s">
        <v>432</v>
      </c>
      <c r="B294"/>
      <c r="C294" t="s">
        <v>349</v>
      </c>
      <c r="D294"/>
      <c r="E294"/>
      <c r="F294"/>
      <c r="G294">
        <v>40</v>
      </c>
      <c r="H294" t="s">
        <v>368</v>
      </c>
      <c r="I294" t="s">
        <v>607</v>
      </c>
      <c r="J294">
        <v>140604</v>
      </c>
      <c r="K294" t="s">
        <v>866</v>
      </c>
      <c r="L294" t="s">
        <v>867</v>
      </c>
      <c r="M294" t="s">
        <v>351</v>
      </c>
    </row>
    <row r="295" spans="1:13" x14ac:dyDescent="0.25">
      <c r="A295" t="s">
        <v>432</v>
      </c>
      <c r="B295"/>
      <c r="C295" t="s">
        <v>349</v>
      </c>
      <c r="D295"/>
      <c r="E295"/>
      <c r="F295"/>
      <c r="G295">
        <v>40</v>
      </c>
      <c r="H295" t="s">
        <v>368</v>
      </c>
      <c r="I295" t="s">
        <v>607</v>
      </c>
      <c r="J295">
        <v>140604</v>
      </c>
      <c r="K295" t="s">
        <v>866</v>
      </c>
      <c r="L295" t="s">
        <v>867</v>
      </c>
      <c r="M295" t="s">
        <v>351</v>
      </c>
    </row>
    <row r="296" spans="1:13" x14ac:dyDescent="0.25">
      <c r="A296" t="s">
        <v>432</v>
      </c>
      <c r="B296"/>
      <c r="C296" t="s">
        <v>349</v>
      </c>
      <c r="D296"/>
      <c r="E296"/>
      <c r="F296"/>
      <c r="G296">
        <v>40</v>
      </c>
      <c r="H296" t="s">
        <v>368</v>
      </c>
      <c r="I296" t="s">
        <v>608</v>
      </c>
      <c r="J296">
        <v>140604</v>
      </c>
      <c r="K296" t="s">
        <v>866</v>
      </c>
      <c r="L296" t="s">
        <v>867</v>
      </c>
      <c r="M296" t="s">
        <v>351</v>
      </c>
    </row>
    <row r="297" spans="1:13" x14ac:dyDescent="0.25">
      <c r="A297" t="s">
        <v>432</v>
      </c>
      <c r="B297"/>
      <c r="C297" t="s">
        <v>349</v>
      </c>
      <c r="D297"/>
      <c r="E297"/>
      <c r="F297"/>
      <c r="G297">
        <v>50</v>
      </c>
      <c r="H297" t="s">
        <v>361</v>
      </c>
      <c r="I297" t="s">
        <v>936</v>
      </c>
      <c r="J297">
        <v>140604</v>
      </c>
      <c r="K297" t="s">
        <v>866</v>
      </c>
      <c r="L297" t="s">
        <v>867</v>
      </c>
      <c r="M297" t="s">
        <v>351</v>
      </c>
    </row>
    <row r="298" spans="1:13" x14ac:dyDescent="0.25">
      <c r="A298" t="s">
        <v>462</v>
      </c>
      <c r="B298" t="s">
        <v>942</v>
      </c>
      <c r="C298" t="s">
        <v>349</v>
      </c>
      <c r="D298"/>
      <c r="E298"/>
      <c r="F298"/>
      <c r="G298">
        <v>60</v>
      </c>
      <c r="H298" t="s">
        <v>393</v>
      </c>
      <c r="I298" t="s">
        <v>611</v>
      </c>
      <c r="J298">
        <v>140604</v>
      </c>
      <c r="K298" t="s">
        <v>866</v>
      </c>
      <c r="L298" t="s">
        <v>867</v>
      </c>
      <c r="M298" t="s">
        <v>351</v>
      </c>
    </row>
    <row r="299" spans="1:13" x14ac:dyDescent="0.25">
      <c r="A299" t="s">
        <v>397</v>
      </c>
      <c r="B299"/>
      <c r="C299" t="s">
        <v>349</v>
      </c>
      <c r="D299"/>
      <c r="E299"/>
      <c r="F299" t="s">
        <v>473</v>
      </c>
      <c r="G299">
        <v>80</v>
      </c>
      <c r="H299" t="s">
        <v>509</v>
      </c>
      <c r="I299" t="s">
        <v>612</v>
      </c>
      <c r="J299">
        <v>140604</v>
      </c>
      <c r="K299" t="s">
        <v>866</v>
      </c>
      <c r="L299" t="s">
        <v>867</v>
      </c>
      <c r="M299" t="s">
        <v>351</v>
      </c>
    </row>
    <row r="300" spans="1:13" x14ac:dyDescent="0.25">
      <c r="A300" t="s">
        <v>397</v>
      </c>
      <c r="B300"/>
      <c r="C300" t="s">
        <v>349</v>
      </c>
      <c r="D300"/>
      <c r="E300"/>
      <c r="F300" t="s">
        <v>473</v>
      </c>
      <c r="G300">
        <v>80</v>
      </c>
      <c r="H300" t="s">
        <v>509</v>
      </c>
      <c r="I300" t="s">
        <v>946</v>
      </c>
      <c r="J300">
        <v>140604</v>
      </c>
      <c r="K300" t="s">
        <v>866</v>
      </c>
      <c r="L300" t="s">
        <v>867</v>
      </c>
      <c r="M300" t="s">
        <v>351</v>
      </c>
    </row>
    <row r="301" spans="1:13" x14ac:dyDescent="0.25">
      <c r="A301" t="s">
        <v>462</v>
      </c>
      <c r="B301" t="s">
        <v>592</v>
      </c>
      <c r="C301"/>
      <c r="D301"/>
      <c r="E301"/>
      <c r="F301"/>
      <c r="G301">
        <v>30</v>
      </c>
      <c r="H301" t="s">
        <v>356</v>
      </c>
      <c r="I301" t="s">
        <v>959</v>
      </c>
      <c r="J301">
        <v>140604</v>
      </c>
      <c r="K301" t="s">
        <v>866</v>
      </c>
      <c r="L301" t="s">
        <v>867</v>
      </c>
      <c r="M301" t="s">
        <v>351</v>
      </c>
    </row>
    <row r="302" spans="1:13" x14ac:dyDescent="0.25">
      <c r="A302" t="s">
        <v>575</v>
      </c>
      <c r="B302"/>
      <c r="C302"/>
      <c r="D302"/>
      <c r="E302"/>
      <c r="F302"/>
      <c r="G302">
        <v>82</v>
      </c>
      <c r="H302" t="s">
        <v>364</v>
      </c>
      <c r="I302" t="s">
        <v>960</v>
      </c>
      <c r="J302">
        <v>140604</v>
      </c>
      <c r="K302" t="s">
        <v>866</v>
      </c>
      <c r="L302" t="s">
        <v>867</v>
      </c>
      <c r="M302" t="s">
        <v>351</v>
      </c>
    </row>
    <row r="303" spans="1:13" x14ac:dyDescent="0.25">
      <c r="A303" t="s">
        <v>614</v>
      </c>
      <c r="B303" t="s">
        <v>961</v>
      </c>
      <c r="C303"/>
      <c r="D303"/>
      <c r="E303" t="s">
        <v>340</v>
      </c>
      <c r="F303"/>
      <c r="G303">
        <v>120</v>
      </c>
      <c r="H303" t="s">
        <v>368</v>
      </c>
      <c r="I303" t="s">
        <v>865</v>
      </c>
      <c r="J303">
        <v>140604</v>
      </c>
      <c r="K303" t="s">
        <v>866</v>
      </c>
      <c r="L303" t="s">
        <v>867</v>
      </c>
      <c r="M303" t="s">
        <v>351</v>
      </c>
    </row>
    <row r="304" spans="1:13" x14ac:dyDescent="0.25">
      <c r="A304" t="s">
        <v>495</v>
      </c>
      <c r="B304" t="s">
        <v>962</v>
      </c>
      <c r="C304"/>
      <c r="D304"/>
      <c r="E304"/>
      <c r="F304"/>
      <c r="G304">
        <v>240</v>
      </c>
      <c r="H304" t="s">
        <v>509</v>
      </c>
      <c r="I304" t="s">
        <v>960</v>
      </c>
      <c r="J304">
        <v>140604</v>
      </c>
      <c r="K304" t="s">
        <v>866</v>
      </c>
      <c r="L304" t="s">
        <v>867</v>
      </c>
      <c r="M304" t="s">
        <v>351</v>
      </c>
    </row>
    <row r="305" spans="1:13" x14ac:dyDescent="0.25">
      <c r="A305" t="s">
        <v>432</v>
      </c>
      <c r="B305"/>
      <c r="C305" t="s">
        <v>349</v>
      </c>
      <c r="D305"/>
      <c r="E305"/>
      <c r="F305"/>
      <c r="G305">
        <v>410</v>
      </c>
      <c r="H305" t="s">
        <v>998</v>
      </c>
      <c r="I305" t="s">
        <v>999</v>
      </c>
      <c r="J305">
        <v>140604</v>
      </c>
      <c r="K305" t="s">
        <v>866</v>
      </c>
      <c r="L305" t="s">
        <v>867</v>
      </c>
      <c r="M305" t="s">
        <v>351</v>
      </c>
    </row>
    <row r="306" spans="1:13" x14ac:dyDescent="0.25">
      <c r="A306" t="s">
        <v>379</v>
      </c>
      <c r="B306"/>
      <c r="C306" t="s">
        <v>349</v>
      </c>
      <c r="D306"/>
      <c r="E306"/>
      <c r="F306" t="s">
        <v>428</v>
      </c>
      <c r="G306">
        <v>81.34</v>
      </c>
      <c r="H306" t="s">
        <v>632</v>
      </c>
      <c r="I306" t="s">
        <v>967</v>
      </c>
      <c r="J306">
        <v>140606</v>
      </c>
      <c r="K306" t="s">
        <v>968</v>
      </c>
      <c r="L306" t="s">
        <v>969</v>
      </c>
      <c r="M306" t="s">
        <v>351</v>
      </c>
    </row>
    <row r="307" spans="1:13" x14ac:dyDescent="0.25">
      <c r="A307" t="s">
        <v>432</v>
      </c>
      <c r="B307"/>
      <c r="C307" t="s">
        <v>349</v>
      </c>
      <c r="D307"/>
      <c r="E307"/>
      <c r="F307"/>
      <c r="G307">
        <v>250.92</v>
      </c>
      <c r="H307" t="s">
        <v>992</v>
      </c>
      <c r="I307" t="s">
        <v>967</v>
      </c>
      <c r="J307">
        <v>140606</v>
      </c>
      <c r="K307" t="s">
        <v>968</v>
      </c>
      <c r="L307" t="s">
        <v>969</v>
      </c>
      <c r="M307" t="s">
        <v>351</v>
      </c>
    </row>
    <row r="308" spans="1:13" x14ac:dyDescent="0.25">
      <c r="A308" t="s">
        <v>589</v>
      </c>
      <c r="B308"/>
      <c r="C308"/>
      <c r="D308"/>
      <c r="E308"/>
      <c r="F308"/>
      <c r="G308">
        <v>46780</v>
      </c>
      <c r="H308" t="s">
        <v>655</v>
      </c>
      <c r="I308" t="s">
        <v>913</v>
      </c>
      <c r="J308">
        <v>140782</v>
      </c>
      <c r="K308" t="s">
        <v>914</v>
      </c>
      <c r="L308" t="s">
        <v>915</v>
      </c>
      <c r="M308" t="s">
        <v>351</v>
      </c>
    </row>
    <row r="309" spans="1:13" x14ac:dyDescent="0.25">
      <c r="A309" t="s">
        <v>1114</v>
      </c>
      <c r="B309"/>
      <c r="C309" t="s">
        <v>500</v>
      </c>
      <c r="D309"/>
      <c r="E309"/>
      <c r="F309"/>
      <c r="G309">
        <f>1595*2.2046</f>
        <v>3516.337</v>
      </c>
      <c r="H309" t="s">
        <v>1115</v>
      </c>
      <c r="I309" t="s">
        <v>1116</v>
      </c>
      <c r="J309">
        <v>140882</v>
      </c>
      <c r="K309" t="s">
        <v>1081</v>
      </c>
      <c r="L309" s="31" t="s">
        <v>1082</v>
      </c>
      <c r="M309" t="s">
        <v>351</v>
      </c>
    </row>
    <row r="310" spans="1:13" x14ac:dyDescent="0.25">
      <c r="A310" t="s">
        <v>568</v>
      </c>
      <c r="B310"/>
      <c r="C310"/>
      <c r="D310" t="s">
        <v>613</v>
      </c>
      <c r="E310" s="30" t="s">
        <v>340</v>
      </c>
      <c r="F310"/>
      <c r="G310">
        <v>3494.2910000000002</v>
      </c>
      <c r="H310" t="s">
        <v>350</v>
      </c>
      <c r="I310" t="s">
        <v>1080</v>
      </c>
      <c r="J310">
        <v>140882</v>
      </c>
      <c r="K310" t="s">
        <v>1081</v>
      </c>
      <c r="L310" t="s">
        <v>1082</v>
      </c>
      <c r="M310" t="s">
        <v>351</v>
      </c>
    </row>
    <row r="311" spans="1:13" x14ac:dyDescent="0.25">
      <c r="A311" t="s">
        <v>568</v>
      </c>
      <c r="B311"/>
      <c r="C311"/>
      <c r="D311" t="s">
        <v>613</v>
      </c>
      <c r="E311" s="30" t="s">
        <v>340</v>
      </c>
      <c r="F311"/>
      <c r="G311">
        <v>3496.4949999999999</v>
      </c>
      <c r="H311" t="s">
        <v>350</v>
      </c>
      <c r="I311" t="s">
        <v>1083</v>
      </c>
      <c r="J311">
        <v>140882</v>
      </c>
      <c r="K311" t="s">
        <v>1081</v>
      </c>
      <c r="L311" t="s">
        <v>1082</v>
      </c>
      <c r="M311" t="s">
        <v>351</v>
      </c>
    </row>
    <row r="312" spans="1:13" x14ac:dyDescent="0.25">
      <c r="A312" t="s">
        <v>552</v>
      </c>
      <c r="B312"/>
      <c r="C312" t="s">
        <v>349</v>
      </c>
      <c r="D312"/>
      <c r="E312"/>
      <c r="F312" t="s">
        <v>374</v>
      </c>
      <c r="G312">
        <v>0.99199999999999999</v>
      </c>
      <c r="H312" t="s">
        <v>356</v>
      </c>
      <c r="I312" t="s">
        <v>362</v>
      </c>
      <c r="J312">
        <v>140982</v>
      </c>
      <c r="K312" t="s">
        <v>757</v>
      </c>
      <c r="L312" t="s">
        <v>758</v>
      </c>
      <c r="M312" t="s">
        <v>351</v>
      </c>
    </row>
    <row r="313" spans="1:13" x14ac:dyDescent="0.25">
      <c r="A313" t="s">
        <v>544</v>
      </c>
      <c r="B313"/>
      <c r="C313" t="s">
        <v>349</v>
      </c>
      <c r="D313"/>
      <c r="E313" t="s">
        <v>340</v>
      </c>
      <c r="F313" t="s">
        <v>499</v>
      </c>
      <c r="G313">
        <v>0.99199999999999999</v>
      </c>
      <c r="H313" t="s">
        <v>356</v>
      </c>
      <c r="I313" t="s">
        <v>362</v>
      </c>
      <c r="J313">
        <v>140982</v>
      </c>
      <c r="K313" t="s">
        <v>757</v>
      </c>
      <c r="L313" t="s">
        <v>758</v>
      </c>
      <c r="M313" t="s">
        <v>351</v>
      </c>
    </row>
    <row r="314" spans="1:13" x14ac:dyDescent="0.25">
      <c r="A314" t="s">
        <v>760</v>
      </c>
      <c r="B314" t="s">
        <v>761</v>
      </c>
      <c r="C314" t="s">
        <v>349</v>
      </c>
      <c r="D314"/>
      <c r="E314"/>
      <c r="F314"/>
      <c r="G314">
        <v>0.99199999999999999</v>
      </c>
      <c r="H314" t="s">
        <v>356</v>
      </c>
      <c r="I314" t="s">
        <v>362</v>
      </c>
      <c r="J314">
        <v>140982</v>
      </c>
      <c r="K314" t="s">
        <v>757</v>
      </c>
      <c r="L314" t="s">
        <v>758</v>
      </c>
      <c r="M314" t="s">
        <v>351</v>
      </c>
    </row>
    <row r="315" spans="1:13" x14ac:dyDescent="0.25">
      <c r="A315" t="s">
        <v>542</v>
      </c>
      <c r="B315"/>
      <c r="C315" t="s">
        <v>349</v>
      </c>
      <c r="D315"/>
      <c r="E315"/>
      <c r="F315" t="s">
        <v>433</v>
      </c>
      <c r="G315">
        <v>0.99199999999999999</v>
      </c>
      <c r="H315" t="s">
        <v>364</v>
      </c>
      <c r="I315" t="s">
        <v>362</v>
      </c>
      <c r="J315">
        <v>140982</v>
      </c>
      <c r="K315" t="s">
        <v>757</v>
      </c>
      <c r="L315" t="s">
        <v>758</v>
      </c>
      <c r="M315" t="s">
        <v>351</v>
      </c>
    </row>
    <row r="316" spans="1:13" x14ac:dyDescent="0.25">
      <c r="A316" t="s">
        <v>815</v>
      </c>
      <c r="B316" t="s">
        <v>816</v>
      </c>
      <c r="C316" t="s">
        <v>349</v>
      </c>
      <c r="D316"/>
      <c r="E316"/>
      <c r="F316"/>
      <c r="G316">
        <v>2.9980000000000002</v>
      </c>
      <c r="H316" t="s">
        <v>509</v>
      </c>
      <c r="I316" t="s">
        <v>362</v>
      </c>
      <c r="J316">
        <v>140982</v>
      </c>
      <c r="K316" t="s">
        <v>757</v>
      </c>
      <c r="L316" t="s">
        <v>758</v>
      </c>
      <c r="M316" t="s">
        <v>351</v>
      </c>
    </row>
    <row r="317" spans="1:13" x14ac:dyDescent="0.25">
      <c r="A317" t="s">
        <v>371</v>
      </c>
      <c r="B317" t="s">
        <v>492</v>
      </c>
      <c r="C317" t="s">
        <v>349</v>
      </c>
      <c r="D317"/>
      <c r="E317"/>
      <c r="F317" t="s">
        <v>377</v>
      </c>
      <c r="G317">
        <v>5.0039999999999996</v>
      </c>
      <c r="H317" t="s">
        <v>364</v>
      </c>
      <c r="I317" t="s">
        <v>362</v>
      </c>
      <c r="J317">
        <v>140982</v>
      </c>
      <c r="K317" t="s">
        <v>757</v>
      </c>
      <c r="L317" t="s">
        <v>758</v>
      </c>
      <c r="M317" t="s">
        <v>351</v>
      </c>
    </row>
    <row r="318" spans="1:13" x14ac:dyDescent="0.25">
      <c r="A318" t="s">
        <v>371</v>
      </c>
      <c r="B318" t="s">
        <v>492</v>
      </c>
      <c r="C318" t="s">
        <v>349</v>
      </c>
      <c r="D318"/>
      <c r="E318"/>
      <c r="F318" t="s">
        <v>377</v>
      </c>
      <c r="G318">
        <v>5.0039999999999996</v>
      </c>
      <c r="H318" t="s">
        <v>364</v>
      </c>
      <c r="I318" t="s">
        <v>362</v>
      </c>
      <c r="J318">
        <v>140982</v>
      </c>
      <c r="K318" t="s">
        <v>757</v>
      </c>
      <c r="L318" t="s">
        <v>758</v>
      </c>
      <c r="M318" t="s">
        <v>351</v>
      </c>
    </row>
    <row r="319" spans="1:13" x14ac:dyDescent="0.25">
      <c r="A319" t="s">
        <v>371</v>
      </c>
      <c r="B319" t="s">
        <v>492</v>
      </c>
      <c r="C319" t="s">
        <v>349</v>
      </c>
      <c r="D319"/>
      <c r="E319"/>
      <c r="F319" t="s">
        <v>377</v>
      </c>
      <c r="G319">
        <v>5.0039999999999996</v>
      </c>
      <c r="H319" t="s">
        <v>364</v>
      </c>
      <c r="I319" t="s">
        <v>362</v>
      </c>
      <c r="J319">
        <v>140982</v>
      </c>
      <c r="K319" t="s">
        <v>757</v>
      </c>
      <c r="L319" t="s">
        <v>758</v>
      </c>
      <c r="M319" t="s">
        <v>351</v>
      </c>
    </row>
    <row r="320" spans="1:13" x14ac:dyDescent="0.25">
      <c r="A320" t="s">
        <v>539</v>
      </c>
      <c r="B320" t="s">
        <v>566</v>
      </c>
      <c r="C320" t="s">
        <v>349</v>
      </c>
      <c r="D320"/>
      <c r="E320"/>
      <c r="F320"/>
      <c r="G320">
        <v>5.0039999999999996</v>
      </c>
      <c r="H320" t="s">
        <v>364</v>
      </c>
      <c r="I320" t="s">
        <v>362</v>
      </c>
      <c r="J320">
        <v>140982</v>
      </c>
      <c r="K320" t="s">
        <v>757</v>
      </c>
      <c r="L320" t="s">
        <v>758</v>
      </c>
      <c r="M320" t="s">
        <v>351</v>
      </c>
    </row>
    <row r="321" spans="1:13" x14ac:dyDescent="0.25">
      <c r="A321" t="s">
        <v>539</v>
      </c>
      <c r="B321" t="s">
        <v>566</v>
      </c>
      <c r="C321" t="s">
        <v>349</v>
      </c>
      <c r="D321"/>
      <c r="E321"/>
      <c r="F321"/>
      <c r="G321">
        <v>5.0039999999999996</v>
      </c>
      <c r="H321" t="s">
        <v>364</v>
      </c>
      <c r="I321" t="s">
        <v>362</v>
      </c>
      <c r="J321">
        <v>140982</v>
      </c>
      <c r="K321" t="s">
        <v>757</v>
      </c>
      <c r="L321" t="s">
        <v>758</v>
      </c>
      <c r="M321" t="s">
        <v>351</v>
      </c>
    </row>
    <row r="322" spans="1:13" x14ac:dyDescent="0.25">
      <c r="A322" t="s">
        <v>560</v>
      </c>
      <c r="B322"/>
      <c r="C322" t="s">
        <v>349</v>
      </c>
      <c r="D322"/>
      <c r="E322"/>
      <c r="F322"/>
      <c r="G322">
        <v>5.0039999999999996</v>
      </c>
      <c r="H322" t="s">
        <v>364</v>
      </c>
      <c r="I322" t="s">
        <v>362</v>
      </c>
      <c r="J322">
        <v>140982</v>
      </c>
      <c r="K322" t="s">
        <v>757</v>
      </c>
      <c r="L322" t="s">
        <v>758</v>
      </c>
      <c r="M322" t="s">
        <v>351</v>
      </c>
    </row>
    <row r="323" spans="1:13" x14ac:dyDescent="0.25">
      <c r="A323" t="s">
        <v>560</v>
      </c>
      <c r="B323"/>
      <c r="C323" t="s">
        <v>349</v>
      </c>
      <c r="D323"/>
      <c r="E323"/>
      <c r="F323"/>
      <c r="G323">
        <v>5.0039999999999996</v>
      </c>
      <c r="H323" t="s">
        <v>364</v>
      </c>
      <c r="I323" t="s">
        <v>362</v>
      </c>
      <c r="J323">
        <v>140982</v>
      </c>
      <c r="K323" t="s">
        <v>757</v>
      </c>
      <c r="L323" t="s">
        <v>758</v>
      </c>
      <c r="M323" t="s">
        <v>351</v>
      </c>
    </row>
    <row r="324" spans="1:13" x14ac:dyDescent="0.25">
      <c r="A324" t="s">
        <v>560</v>
      </c>
      <c r="B324"/>
      <c r="C324" t="s">
        <v>349</v>
      </c>
      <c r="D324"/>
      <c r="E324"/>
      <c r="F324"/>
      <c r="G324">
        <v>5.0039999999999996</v>
      </c>
      <c r="H324" t="s">
        <v>364</v>
      </c>
      <c r="I324" t="s">
        <v>362</v>
      </c>
      <c r="J324">
        <v>140982</v>
      </c>
      <c r="K324" t="s">
        <v>757</v>
      </c>
      <c r="L324" t="s">
        <v>758</v>
      </c>
      <c r="M324" t="s">
        <v>351</v>
      </c>
    </row>
    <row r="325" spans="1:13" x14ac:dyDescent="0.25">
      <c r="A325" t="s">
        <v>435</v>
      </c>
      <c r="B325" t="s">
        <v>843</v>
      </c>
      <c r="C325" t="s">
        <v>349</v>
      </c>
      <c r="D325"/>
      <c r="E325"/>
      <c r="F325"/>
      <c r="G325">
        <v>5.0039999999999996</v>
      </c>
      <c r="H325" t="s">
        <v>393</v>
      </c>
      <c r="I325" t="s">
        <v>362</v>
      </c>
      <c r="J325">
        <v>140982</v>
      </c>
      <c r="K325" t="s">
        <v>757</v>
      </c>
      <c r="L325" t="s">
        <v>758</v>
      </c>
      <c r="M325" t="s">
        <v>351</v>
      </c>
    </row>
    <row r="326" spans="1:13" x14ac:dyDescent="0.25">
      <c r="A326" t="s">
        <v>435</v>
      </c>
      <c r="B326" t="s">
        <v>843</v>
      </c>
      <c r="C326" t="s">
        <v>349</v>
      </c>
      <c r="D326"/>
      <c r="E326"/>
      <c r="F326"/>
      <c r="G326">
        <v>5.0039999999999996</v>
      </c>
      <c r="H326" t="s">
        <v>393</v>
      </c>
      <c r="I326" t="s">
        <v>362</v>
      </c>
      <c r="J326">
        <v>140982</v>
      </c>
      <c r="K326" t="s">
        <v>757</v>
      </c>
      <c r="L326" t="s">
        <v>758</v>
      </c>
      <c r="M326" t="s">
        <v>351</v>
      </c>
    </row>
    <row r="327" spans="1:13" x14ac:dyDescent="0.25">
      <c r="A327" t="s">
        <v>497</v>
      </c>
      <c r="B327"/>
      <c r="C327" t="s">
        <v>349</v>
      </c>
      <c r="D327"/>
      <c r="E327"/>
      <c r="F327" t="s">
        <v>374</v>
      </c>
      <c r="G327">
        <v>5.0039999999999996</v>
      </c>
      <c r="H327" t="s">
        <v>367</v>
      </c>
      <c r="I327" t="s">
        <v>362</v>
      </c>
      <c r="J327">
        <v>140982</v>
      </c>
      <c r="K327" t="s">
        <v>757</v>
      </c>
      <c r="L327" t="s">
        <v>758</v>
      </c>
      <c r="M327" t="s">
        <v>351</v>
      </c>
    </row>
    <row r="328" spans="1:13" x14ac:dyDescent="0.25">
      <c r="A328" t="s">
        <v>554</v>
      </c>
      <c r="B328"/>
      <c r="C328" t="s">
        <v>349</v>
      </c>
      <c r="D328"/>
      <c r="E328"/>
      <c r="F328" t="s">
        <v>421</v>
      </c>
      <c r="G328">
        <v>8.0020000000000007</v>
      </c>
      <c r="H328" t="s">
        <v>356</v>
      </c>
      <c r="I328" t="s">
        <v>362</v>
      </c>
      <c r="J328">
        <v>140982</v>
      </c>
      <c r="K328" t="s">
        <v>757</v>
      </c>
      <c r="L328" t="s">
        <v>758</v>
      </c>
      <c r="M328" t="s">
        <v>351</v>
      </c>
    </row>
    <row r="329" spans="1:13" x14ac:dyDescent="0.25">
      <c r="A329" t="s">
        <v>385</v>
      </c>
      <c r="B329" t="s">
        <v>559</v>
      </c>
      <c r="C329" t="s">
        <v>349</v>
      </c>
      <c r="D329"/>
      <c r="E329"/>
      <c r="F329"/>
      <c r="G329">
        <v>8.0020000000000007</v>
      </c>
      <c r="H329" t="s">
        <v>364</v>
      </c>
      <c r="I329" t="s">
        <v>362</v>
      </c>
      <c r="J329">
        <v>140982</v>
      </c>
      <c r="K329" t="s">
        <v>757</v>
      </c>
      <c r="L329" t="s">
        <v>758</v>
      </c>
      <c r="M329" t="s">
        <v>351</v>
      </c>
    </row>
    <row r="330" spans="1:13" x14ac:dyDescent="0.25">
      <c r="A330" t="s">
        <v>397</v>
      </c>
      <c r="B330"/>
      <c r="C330" t="s">
        <v>349</v>
      </c>
      <c r="D330"/>
      <c r="E330"/>
      <c r="F330" t="s">
        <v>499</v>
      </c>
      <c r="G330">
        <v>10.007999999999999</v>
      </c>
      <c r="H330" t="s">
        <v>368</v>
      </c>
      <c r="I330" t="s">
        <v>362</v>
      </c>
      <c r="J330">
        <v>140982</v>
      </c>
      <c r="K330" t="s">
        <v>757</v>
      </c>
      <c r="L330" t="s">
        <v>758</v>
      </c>
      <c r="M330" t="s">
        <v>351</v>
      </c>
    </row>
    <row r="331" spans="1:13" x14ac:dyDescent="0.25">
      <c r="A331" t="s">
        <v>397</v>
      </c>
      <c r="B331"/>
      <c r="C331" t="s">
        <v>349</v>
      </c>
      <c r="D331"/>
      <c r="E331"/>
      <c r="F331" t="s">
        <v>499</v>
      </c>
      <c r="G331">
        <v>10.007999999999999</v>
      </c>
      <c r="H331" t="s">
        <v>368</v>
      </c>
      <c r="I331" t="s">
        <v>362</v>
      </c>
      <c r="J331">
        <v>140982</v>
      </c>
      <c r="K331" t="s">
        <v>757</v>
      </c>
      <c r="L331" t="s">
        <v>758</v>
      </c>
      <c r="M331" t="s">
        <v>351</v>
      </c>
    </row>
    <row r="332" spans="1:13" x14ac:dyDescent="0.25">
      <c r="A332" t="s">
        <v>495</v>
      </c>
      <c r="B332" t="s">
        <v>496</v>
      </c>
      <c r="C332" t="s">
        <v>349</v>
      </c>
      <c r="D332"/>
      <c r="E332"/>
      <c r="F332"/>
      <c r="G332">
        <v>10.007999999999999</v>
      </c>
      <c r="H332" t="s">
        <v>393</v>
      </c>
      <c r="I332" t="s">
        <v>362</v>
      </c>
      <c r="J332">
        <v>140982</v>
      </c>
      <c r="K332" t="s">
        <v>757</v>
      </c>
      <c r="L332" t="s">
        <v>758</v>
      </c>
      <c r="M332" t="s">
        <v>351</v>
      </c>
    </row>
    <row r="333" spans="1:13" x14ac:dyDescent="0.25">
      <c r="A333" t="s">
        <v>490</v>
      </c>
      <c r="B333"/>
      <c r="C333" t="s">
        <v>349</v>
      </c>
      <c r="D333"/>
      <c r="E333"/>
      <c r="F333" t="s">
        <v>380</v>
      </c>
      <c r="G333">
        <v>14.991</v>
      </c>
      <c r="H333" t="s">
        <v>393</v>
      </c>
      <c r="I333" t="s">
        <v>362</v>
      </c>
      <c r="J333">
        <v>140982</v>
      </c>
      <c r="K333" t="s">
        <v>757</v>
      </c>
      <c r="L333" t="s">
        <v>758</v>
      </c>
      <c r="M333" t="s">
        <v>351</v>
      </c>
    </row>
    <row r="334" spans="1:13" x14ac:dyDescent="0.25">
      <c r="A334" t="s">
        <v>399</v>
      </c>
      <c r="B334"/>
      <c r="C334"/>
      <c r="D334"/>
      <c r="E334"/>
      <c r="F334"/>
      <c r="G334">
        <v>3.99</v>
      </c>
      <c r="H334" t="s">
        <v>393</v>
      </c>
      <c r="I334" t="s">
        <v>362</v>
      </c>
      <c r="J334">
        <v>140982</v>
      </c>
      <c r="K334" t="s">
        <v>757</v>
      </c>
      <c r="L334" t="s">
        <v>758</v>
      </c>
      <c r="M334" t="s">
        <v>351</v>
      </c>
    </row>
    <row r="335" spans="1:13" x14ac:dyDescent="0.25">
      <c r="A335" t="s">
        <v>432</v>
      </c>
      <c r="B335"/>
      <c r="C335"/>
      <c r="D335"/>
      <c r="E335"/>
      <c r="F335"/>
      <c r="G335">
        <v>39.991</v>
      </c>
      <c r="H335" t="s">
        <v>850</v>
      </c>
      <c r="I335" t="s">
        <v>695</v>
      </c>
      <c r="J335">
        <v>140982</v>
      </c>
      <c r="K335" t="s">
        <v>757</v>
      </c>
      <c r="L335" t="s">
        <v>758</v>
      </c>
      <c r="M335" t="s">
        <v>351</v>
      </c>
    </row>
    <row r="336" spans="1:13" x14ac:dyDescent="0.25">
      <c r="A336" t="s">
        <v>432</v>
      </c>
      <c r="B336"/>
      <c r="C336"/>
      <c r="D336"/>
      <c r="E336"/>
      <c r="F336"/>
      <c r="G336">
        <v>50</v>
      </c>
      <c r="H336" t="s">
        <v>536</v>
      </c>
      <c r="I336" t="s">
        <v>695</v>
      </c>
      <c r="J336">
        <v>140982</v>
      </c>
      <c r="K336" t="s">
        <v>757</v>
      </c>
      <c r="L336" t="s">
        <v>758</v>
      </c>
      <c r="M336" t="s">
        <v>351</v>
      </c>
    </row>
    <row r="337" spans="1:13" x14ac:dyDescent="0.25">
      <c r="A337" t="s">
        <v>432</v>
      </c>
      <c r="B337"/>
      <c r="C337"/>
      <c r="D337"/>
      <c r="E337"/>
      <c r="F337"/>
      <c r="G337">
        <v>50</v>
      </c>
      <c r="H337" t="s">
        <v>940</v>
      </c>
      <c r="I337" t="s">
        <v>695</v>
      </c>
      <c r="J337">
        <v>140982</v>
      </c>
      <c r="K337" t="s">
        <v>757</v>
      </c>
      <c r="L337" t="s">
        <v>758</v>
      </c>
      <c r="M337" t="s">
        <v>351</v>
      </c>
    </row>
    <row r="338" spans="1:13" x14ac:dyDescent="0.25">
      <c r="A338" t="s">
        <v>360</v>
      </c>
      <c r="B338"/>
      <c r="C338"/>
      <c r="D338"/>
      <c r="E338"/>
      <c r="F338"/>
      <c r="G338">
        <v>2.27</v>
      </c>
      <c r="H338" t="s">
        <v>364</v>
      </c>
      <c r="I338" t="s">
        <v>362</v>
      </c>
      <c r="J338">
        <v>140982</v>
      </c>
      <c r="K338" t="s">
        <v>757</v>
      </c>
      <c r="L338" t="s">
        <v>758</v>
      </c>
      <c r="M338" t="s">
        <v>351</v>
      </c>
    </row>
    <row r="339" spans="1:13" x14ac:dyDescent="0.25">
      <c r="A339" t="s">
        <v>360</v>
      </c>
      <c r="B339"/>
      <c r="C339"/>
      <c r="D339"/>
      <c r="E339"/>
      <c r="F339"/>
      <c r="G339">
        <v>5.0039999999999996</v>
      </c>
      <c r="H339" t="s">
        <v>364</v>
      </c>
      <c r="I339" t="s">
        <v>362</v>
      </c>
      <c r="J339">
        <v>140982</v>
      </c>
      <c r="K339" t="s">
        <v>757</v>
      </c>
      <c r="L339" t="s">
        <v>758</v>
      </c>
      <c r="M339" t="s">
        <v>351</v>
      </c>
    </row>
    <row r="340" spans="1:13" x14ac:dyDescent="0.25">
      <c r="A340" t="s">
        <v>363</v>
      </c>
      <c r="B340" t="s">
        <v>392</v>
      </c>
      <c r="C340"/>
      <c r="D340"/>
      <c r="E340"/>
      <c r="F340"/>
      <c r="G340">
        <v>5.0039999999999996</v>
      </c>
      <c r="H340" t="s">
        <v>361</v>
      </c>
      <c r="I340" t="s">
        <v>362</v>
      </c>
      <c r="J340">
        <v>140982</v>
      </c>
      <c r="K340" t="s">
        <v>757</v>
      </c>
      <c r="L340" t="s">
        <v>758</v>
      </c>
      <c r="M340" t="s">
        <v>351</v>
      </c>
    </row>
    <row r="341" spans="1:13" x14ac:dyDescent="0.25">
      <c r="A341" t="s">
        <v>363</v>
      </c>
      <c r="B341" t="s">
        <v>392</v>
      </c>
      <c r="C341"/>
      <c r="D341"/>
      <c r="E341"/>
      <c r="F341"/>
      <c r="G341">
        <v>5.0039999999999996</v>
      </c>
      <c r="H341" t="s">
        <v>367</v>
      </c>
      <c r="I341" t="s">
        <v>362</v>
      </c>
      <c r="J341">
        <v>140982</v>
      </c>
      <c r="K341" t="s">
        <v>757</v>
      </c>
      <c r="L341" t="s">
        <v>758</v>
      </c>
      <c r="M341" t="s">
        <v>351</v>
      </c>
    </row>
    <row r="342" spans="1:13" x14ac:dyDescent="0.25">
      <c r="A342" t="s">
        <v>363</v>
      </c>
      <c r="B342" t="s">
        <v>392</v>
      </c>
      <c r="C342"/>
      <c r="D342"/>
      <c r="E342"/>
      <c r="F342"/>
      <c r="G342">
        <v>5.0039999999999996</v>
      </c>
      <c r="H342" t="s">
        <v>367</v>
      </c>
      <c r="I342" t="s">
        <v>362</v>
      </c>
      <c r="J342">
        <v>140982</v>
      </c>
      <c r="K342" t="s">
        <v>757</v>
      </c>
      <c r="L342" t="s">
        <v>758</v>
      </c>
      <c r="M342" t="s">
        <v>351</v>
      </c>
    </row>
    <row r="343" spans="1:13" x14ac:dyDescent="0.25">
      <c r="A343" t="s">
        <v>396</v>
      </c>
      <c r="B343"/>
      <c r="C343"/>
      <c r="D343"/>
      <c r="E343"/>
      <c r="F343"/>
      <c r="G343">
        <v>10.007999999999999</v>
      </c>
      <c r="H343" t="s">
        <v>367</v>
      </c>
      <c r="I343" t="s">
        <v>362</v>
      </c>
      <c r="J343">
        <v>140982</v>
      </c>
      <c r="K343" t="s">
        <v>757</v>
      </c>
      <c r="L343" t="s">
        <v>758</v>
      </c>
      <c r="M343" t="s">
        <v>351</v>
      </c>
    </row>
    <row r="344" spans="1:13" x14ac:dyDescent="0.25">
      <c r="A344" t="s">
        <v>396</v>
      </c>
      <c r="B344"/>
      <c r="C344"/>
      <c r="D344"/>
      <c r="E344"/>
      <c r="F344"/>
      <c r="G344">
        <v>10.007999999999999</v>
      </c>
      <c r="H344" t="s">
        <v>367</v>
      </c>
      <c r="I344" t="s">
        <v>362</v>
      </c>
      <c r="J344">
        <v>140982</v>
      </c>
      <c r="K344" t="s">
        <v>757</v>
      </c>
      <c r="L344" t="s">
        <v>758</v>
      </c>
      <c r="M344" t="s">
        <v>351</v>
      </c>
    </row>
    <row r="345" spans="1:13" x14ac:dyDescent="0.25">
      <c r="A345" t="s">
        <v>353</v>
      </c>
      <c r="B345"/>
      <c r="C345"/>
      <c r="D345"/>
      <c r="E345"/>
      <c r="F345"/>
      <c r="G345">
        <v>10.007999999999999</v>
      </c>
      <c r="H345" t="s">
        <v>368</v>
      </c>
      <c r="I345" t="s">
        <v>362</v>
      </c>
      <c r="J345">
        <v>140982</v>
      </c>
      <c r="K345" t="s">
        <v>757</v>
      </c>
      <c r="L345" t="s">
        <v>758</v>
      </c>
      <c r="M345" t="s">
        <v>351</v>
      </c>
    </row>
    <row r="346" spans="1:13" x14ac:dyDescent="0.25">
      <c r="A346" t="s">
        <v>353</v>
      </c>
      <c r="B346"/>
      <c r="C346"/>
      <c r="D346"/>
      <c r="E346"/>
      <c r="F346"/>
      <c r="G346">
        <v>10.007999999999999</v>
      </c>
      <c r="H346" t="s">
        <v>368</v>
      </c>
      <c r="I346" t="s">
        <v>362</v>
      </c>
      <c r="J346">
        <v>140982</v>
      </c>
      <c r="K346" t="s">
        <v>757</v>
      </c>
      <c r="L346" t="s">
        <v>758</v>
      </c>
      <c r="M346" t="s">
        <v>351</v>
      </c>
    </row>
    <row r="347" spans="1:13" x14ac:dyDescent="0.25">
      <c r="A347" t="s">
        <v>589</v>
      </c>
      <c r="B347"/>
      <c r="C347" t="s">
        <v>349</v>
      </c>
      <c r="D347"/>
      <c r="E347"/>
      <c r="F347"/>
      <c r="G347">
        <v>38510.614000000001</v>
      </c>
      <c r="H347" t="s">
        <v>1032</v>
      </c>
      <c r="I347" t="s">
        <v>1033</v>
      </c>
      <c r="J347">
        <v>140982</v>
      </c>
      <c r="K347" t="s">
        <v>757</v>
      </c>
      <c r="L347" t="s">
        <v>758</v>
      </c>
      <c r="M347" t="s">
        <v>351</v>
      </c>
    </row>
    <row r="348" spans="1:13" x14ac:dyDescent="0.25">
      <c r="A348" t="s">
        <v>646</v>
      </c>
      <c r="B348"/>
      <c r="C348"/>
      <c r="D348"/>
      <c r="E348"/>
      <c r="F348"/>
      <c r="G348">
        <v>20.436</v>
      </c>
      <c r="H348" t="s">
        <v>1072</v>
      </c>
      <c r="I348" t="s">
        <v>1073</v>
      </c>
      <c r="J348">
        <v>140984</v>
      </c>
      <c r="K348" t="s">
        <v>1074</v>
      </c>
      <c r="L348" t="s">
        <v>1075</v>
      </c>
      <c r="M348" t="s">
        <v>351</v>
      </c>
    </row>
    <row r="349" spans="1:13" x14ac:dyDescent="0.25">
      <c r="A349" t="s">
        <v>432</v>
      </c>
      <c r="B349"/>
      <c r="C349"/>
      <c r="D349"/>
      <c r="E349"/>
      <c r="F349"/>
      <c r="G349">
        <v>2.3359999999999999</v>
      </c>
      <c r="H349" t="s">
        <v>602</v>
      </c>
      <c r="I349" t="s">
        <v>1073</v>
      </c>
      <c r="J349">
        <v>140984</v>
      </c>
      <c r="K349" t="s">
        <v>1074</v>
      </c>
      <c r="L349" t="s">
        <v>1075</v>
      </c>
      <c r="M349" t="s">
        <v>351</v>
      </c>
    </row>
    <row r="350" spans="1:13" x14ac:dyDescent="0.25">
      <c r="A350" t="s">
        <v>396</v>
      </c>
      <c r="B350"/>
      <c r="C350"/>
      <c r="D350"/>
      <c r="E350"/>
      <c r="F350"/>
      <c r="G350">
        <v>1666.8</v>
      </c>
      <c r="H350" t="s">
        <v>1039</v>
      </c>
      <c r="I350" t="s">
        <v>652</v>
      </c>
      <c r="J350">
        <v>180182</v>
      </c>
      <c r="K350" t="s">
        <v>1040</v>
      </c>
      <c r="L350" t="s">
        <v>996</v>
      </c>
      <c r="M350" t="s">
        <v>351</v>
      </c>
    </row>
    <row r="351" spans="1:13" x14ac:dyDescent="0.25">
      <c r="A351" t="s">
        <v>396</v>
      </c>
      <c r="B351"/>
      <c r="C351"/>
      <c r="D351"/>
      <c r="E351"/>
      <c r="F351"/>
      <c r="G351">
        <v>130</v>
      </c>
      <c r="H351" t="s">
        <v>551</v>
      </c>
      <c r="I351" t="s">
        <v>652</v>
      </c>
      <c r="J351">
        <v>180184</v>
      </c>
      <c r="K351" t="s">
        <v>1047</v>
      </c>
      <c r="L351" t="s">
        <v>996</v>
      </c>
      <c r="M351" t="s">
        <v>351</v>
      </c>
    </row>
    <row r="352" spans="1:13" x14ac:dyDescent="0.25">
      <c r="A352" t="s">
        <v>396</v>
      </c>
      <c r="B352"/>
      <c r="C352"/>
      <c r="D352"/>
      <c r="E352"/>
      <c r="F352"/>
      <c r="G352">
        <v>33.799999999999997</v>
      </c>
      <c r="H352" t="s">
        <v>354</v>
      </c>
      <c r="I352" t="s">
        <v>663</v>
      </c>
      <c r="J352">
        <v>180186</v>
      </c>
      <c r="K352" t="s">
        <v>906</v>
      </c>
      <c r="L352" t="s">
        <v>907</v>
      </c>
      <c r="M352" t="s">
        <v>351</v>
      </c>
    </row>
    <row r="353" spans="1:13" x14ac:dyDescent="0.25">
      <c r="A353" t="s">
        <v>396</v>
      </c>
      <c r="B353"/>
      <c r="C353"/>
      <c r="D353"/>
      <c r="E353"/>
      <c r="F353"/>
      <c r="G353">
        <v>390</v>
      </c>
      <c r="H353" t="s">
        <v>627</v>
      </c>
      <c r="I353" t="s">
        <v>652</v>
      </c>
      <c r="J353">
        <v>180282</v>
      </c>
      <c r="K353" t="s">
        <v>653</v>
      </c>
      <c r="L353" t="s">
        <v>654</v>
      </c>
      <c r="M353" t="s">
        <v>351</v>
      </c>
    </row>
    <row r="354" spans="1:13" x14ac:dyDescent="0.25">
      <c r="A354" t="s">
        <v>396</v>
      </c>
      <c r="B354"/>
      <c r="C354"/>
      <c r="D354"/>
      <c r="E354"/>
      <c r="F354"/>
      <c r="G354">
        <v>520</v>
      </c>
      <c r="H354" t="s">
        <v>679</v>
      </c>
      <c r="I354" t="s">
        <v>652</v>
      </c>
      <c r="J354">
        <v>180284</v>
      </c>
      <c r="K354" t="s">
        <v>680</v>
      </c>
      <c r="L354" t="s">
        <v>681</v>
      </c>
      <c r="M354" t="s">
        <v>351</v>
      </c>
    </row>
    <row r="355" spans="1:13" x14ac:dyDescent="0.25">
      <c r="A355" t="s">
        <v>645</v>
      </c>
      <c r="B355"/>
      <c r="C355"/>
      <c r="D355"/>
      <c r="E355"/>
      <c r="F355"/>
      <c r="G355">
        <v>8.0020000000000007</v>
      </c>
      <c r="H355" t="s">
        <v>356</v>
      </c>
      <c r="I355" t="s">
        <v>1035</v>
      </c>
      <c r="J355">
        <v>180286</v>
      </c>
      <c r="K355" t="s">
        <v>1036</v>
      </c>
      <c r="L355" t="s">
        <v>772</v>
      </c>
      <c r="M355" t="s">
        <v>351</v>
      </c>
    </row>
    <row r="356" spans="1:13" x14ac:dyDescent="0.25">
      <c r="A356" t="s">
        <v>493</v>
      </c>
      <c r="B356" t="s">
        <v>691</v>
      </c>
      <c r="C356" t="s">
        <v>349</v>
      </c>
      <c r="D356"/>
      <c r="E356"/>
      <c r="F356"/>
      <c r="G356">
        <v>68.400000000000006</v>
      </c>
      <c r="H356" t="s">
        <v>644</v>
      </c>
      <c r="I356" t="s">
        <v>652</v>
      </c>
      <c r="J356">
        <v>180384</v>
      </c>
      <c r="K356" t="s">
        <v>1069</v>
      </c>
      <c r="L356" t="s">
        <v>657</v>
      </c>
      <c r="M356" t="s">
        <v>351</v>
      </c>
    </row>
    <row r="357" spans="1:13" x14ac:dyDescent="0.25">
      <c r="A357" t="s">
        <v>396</v>
      </c>
      <c r="B357"/>
      <c r="C357"/>
      <c r="D357"/>
      <c r="E357"/>
      <c r="F357"/>
      <c r="G357">
        <v>260</v>
      </c>
      <c r="H357" t="s">
        <v>676</v>
      </c>
      <c r="I357" t="s">
        <v>652</v>
      </c>
      <c r="J357">
        <v>180482</v>
      </c>
      <c r="K357" t="s">
        <v>677</v>
      </c>
      <c r="L357" t="s">
        <v>678</v>
      </c>
      <c r="M357" t="s">
        <v>351</v>
      </c>
    </row>
    <row r="358" spans="1:13" x14ac:dyDescent="0.25">
      <c r="A358" t="s">
        <v>396</v>
      </c>
      <c r="B358"/>
      <c r="C358"/>
      <c r="D358"/>
      <c r="E358"/>
      <c r="F358"/>
      <c r="G358">
        <v>780</v>
      </c>
      <c r="H358" t="s">
        <v>1070</v>
      </c>
      <c r="I358" t="s">
        <v>652</v>
      </c>
      <c r="J358">
        <v>180484</v>
      </c>
      <c r="K358" t="s">
        <v>1071</v>
      </c>
      <c r="L358" t="s">
        <v>678</v>
      </c>
      <c r="M358" t="s">
        <v>351</v>
      </c>
    </row>
    <row r="359" spans="1:13" x14ac:dyDescent="0.25">
      <c r="A359" t="s">
        <v>396</v>
      </c>
      <c r="B359"/>
      <c r="C359"/>
      <c r="D359"/>
      <c r="E359"/>
      <c r="F359"/>
      <c r="G359">
        <v>157.72</v>
      </c>
      <c r="H359" t="s">
        <v>662</v>
      </c>
      <c r="I359" t="s">
        <v>663</v>
      </c>
      <c r="J359">
        <v>180486</v>
      </c>
      <c r="K359" t="s">
        <v>664</v>
      </c>
      <c r="L359" t="s">
        <v>665</v>
      </c>
      <c r="M359" t="s">
        <v>351</v>
      </c>
    </row>
    <row r="360" spans="1:13" x14ac:dyDescent="0.25">
      <c r="A360" t="s">
        <v>396</v>
      </c>
      <c r="B360"/>
      <c r="C360"/>
      <c r="D360"/>
      <c r="E360"/>
      <c r="F360"/>
      <c r="G360">
        <v>565</v>
      </c>
      <c r="H360" t="s">
        <v>894</v>
      </c>
      <c r="I360" t="s">
        <v>895</v>
      </c>
      <c r="J360">
        <v>180682</v>
      </c>
      <c r="K360" t="s">
        <v>896</v>
      </c>
      <c r="L360" t="s">
        <v>660</v>
      </c>
      <c r="M360" t="s">
        <v>351</v>
      </c>
    </row>
    <row r="361" spans="1:13" x14ac:dyDescent="0.25">
      <c r="A361" t="s">
        <v>396</v>
      </c>
      <c r="B361"/>
      <c r="C361"/>
      <c r="D361"/>
      <c r="E361"/>
      <c r="F361"/>
      <c r="G361">
        <v>295.60000000000002</v>
      </c>
      <c r="H361" t="s">
        <v>629</v>
      </c>
      <c r="I361" t="s">
        <v>652</v>
      </c>
      <c r="J361">
        <v>180684</v>
      </c>
      <c r="K361" t="s">
        <v>661</v>
      </c>
      <c r="L361" t="s">
        <v>654</v>
      </c>
      <c r="M361" t="s">
        <v>351</v>
      </c>
    </row>
    <row r="362" spans="1:13" x14ac:dyDescent="0.25">
      <c r="A362" t="s">
        <v>396</v>
      </c>
      <c r="B362"/>
      <c r="C362"/>
      <c r="D362"/>
      <c r="E362"/>
      <c r="F362"/>
      <c r="G362">
        <v>886.8</v>
      </c>
      <c r="H362" t="s">
        <v>835</v>
      </c>
      <c r="I362" t="s">
        <v>652</v>
      </c>
      <c r="J362">
        <v>180686</v>
      </c>
      <c r="K362" t="s">
        <v>836</v>
      </c>
      <c r="L362" t="s">
        <v>837</v>
      </c>
      <c r="M362" t="s">
        <v>351</v>
      </c>
    </row>
    <row r="363" spans="1:13" x14ac:dyDescent="0.25">
      <c r="A363" t="s">
        <v>1013</v>
      </c>
      <c r="B363"/>
      <c r="C363" t="s">
        <v>349</v>
      </c>
      <c r="D363"/>
      <c r="E363"/>
      <c r="F363"/>
      <c r="G363">
        <v>878.99599999999998</v>
      </c>
      <c r="H363" t="s">
        <v>1014</v>
      </c>
      <c r="I363" t="s">
        <v>1015</v>
      </c>
      <c r="J363">
        <v>180782</v>
      </c>
      <c r="K363" t="s">
        <v>1016</v>
      </c>
      <c r="L363" t="s">
        <v>758</v>
      </c>
      <c r="M363" t="s">
        <v>351</v>
      </c>
    </row>
    <row r="364" spans="1:13" x14ac:dyDescent="0.25">
      <c r="A364" t="s">
        <v>589</v>
      </c>
      <c r="B364"/>
      <c r="C364"/>
      <c r="D364"/>
      <c r="E364"/>
      <c r="F364"/>
      <c r="G364">
        <v>3778.97</v>
      </c>
      <c r="H364" t="s">
        <v>1037</v>
      </c>
      <c r="I364" t="s">
        <v>1015</v>
      </c>
      <c r="J364">
        <v>180782</v>
      </c>
      <c r="K364" t="s">
        <v>1016</v>
      </c>
      <c r="L364" t="s">
        <v>758</v>
      </c>
      <c r="M364" t="s">
        <v>351</v>
      </c>
    </row>
    <row r="365" spans="1:13" x14ac:dyDescent="0.25">
      <c r="A365" t="s">
        <v>396</v>
      </c>
      <c r="B365"/>
      <c r="C365"/>
      <c r="D365"/>
      <c r="E365"/>
      <c r="F365"/>
      <c r="G365">
        <v>14.991</v>
      </c>
      <c r="H365" t="s">
        <v>356</v>
      </c>
      <c r="I365" t="s">
        <v>1038</v>
      </c>
      <c r="J365">
        <v>180782</v>
      </c>
      <c r="K365" t="s">
        <v>1016</v>
      </c>
      <c r="L365" t="s">
        <v>758</v>
      </c>
      <c r="M365" t="s">
        <v>351</v>
      </c>
    </row>
    <row r="366" spans="1:13" x14ac:dyDescent="0.25">
      <c r="A366" t="s">
        <v>542</v>
      </c>
      <c r="B366"/>
      <c r="C366" t="s">
        <v>349</v>
      </c>
      <c r="D366"/>
      <c r="E366"/>
      <c r="F366" t="s">
        <v>433</v>
      </c>
      <c r="G366">
        <v>0.99199999999999999</v>
      </c>
      <c r="H366" t="s">
        <v>364</v>
      </c>
      <c r="I366" t="s">
        <v>362</v>
      </c>
      <c r="J366">
        <v>180784</v>
      </c>
      <c r="K366" t="s">
        <v>769</v>
      </c>
      <c r="L366" t="s">
        <v>759</v>
      </c>
      <c r="M366" t="s">
        <v>351</v>
      </c>
    </row>
    <row r="367" spans="1:13" x14ac:dyDescent="0.25">
      <c r="A367" t="s">
        <v>542</v>
      </c>
      <c r="B367"/>
      <c r="C367" t="s">
        <v>349</v>
      </c>
      <c r="D367"/>
      <c r="E367"/>
      <c r="F367" t="s">
        <v>433</v>
      </c>
      <c r="G367">
        <v>0.99199999999999999</v>
      </c>
      <c r="H367" t="s">
        <v>364</v>
      </c>
      <c r="I367" t="s">
        <v>362</v>
      </c>
      <c r="J367">
        <v>180784</v>
      </c>
      <c r="K367" t="s">
        <v>769</v>
      </c>
      <c r="L367" t="s">
        <v>759</v>
      </c>
      <c r="M367" t="s">
        <v>351</v>
      </c>
    </row>
    <row r="368" spans="1:13" x14ac:dyDescent="0.25">
      <c r="A368" t="s">
        <v>542</v>
      </c>
      <c r="B368"/>
      <c r="C368" t="s">
        <v>349</v>
      </c>
      <c r="D368"/>
      <c r="E368"/>
      <c r="F368" t="s">
        <v>433</v>
      </c>
      <c r="G368">
        <v>0.99199999999999999</v>
      </c>
      <c r="H368" t="s">
        <v>364</v>
      </c>
      <c r="I368" t="s">
        <v>362</v>
      </c>
      <c r="J368">
        <v>180784</v>
      </c>
      <c r="K368" t="s">
        <v>769</v>
      </c>
      <c r="L368" t="s">
        <v>759</v>
      </c>
      <c r="M368" t="s">
        <v>351</v>
      </c>
    </row>
    <row r="369" spans="1:13" x14ac:dyDescent="0.25">
      <c r="A369" t="s">
        <v>595</v>
      </c>
      <c r="B369" t="s">
        <v>596</v>
      </c>
      <c r="C369" t="s">
        <v>349</v>
      </c>
      <c r="D369"/>
      <c r="E369"/>
      <c r="F369" t="s">
        <v>597</v>
      </c>
      <c r="G369">
        <v>2.9980000000000002</v>
      </c>
      <c r="H369" t="s">
        <v>356</v>
      </c>
      <c r="I369" t="s">
        <v>362</v>
      </c>
      <c r="J369">
        <v>180784</v>
      </c>
      <c r="K369" t="s">
        <v>769</v>
      </c>
      <c r="L369" t="s">
        <v>759</v>
      </c>
      <c r="M369" t="s">
        <v>351</v>
      </c>
    </row>
    <row r="370" spans="1:13" x14ac:dyDescent="0.25">
      <c r="A370" t="s">
        <v>490</v>
      </c>
      <c r="B370"/>
      <c r="C370" t="s">
        <v>349</v>
      </c>
      <c r="D370"/>
      <c r="E370"/>
      <c r="F370" t="s">
        <v>380</v>
      </c>
      <c r="G370">
        <v>5.0039999999999996</v>
      </c>
      <c r="H370" t="s">
        <v>364</v>
      </c>
      <c r="I370" t="s">
        <v>362</v>
      </c>
      <c r="J370">
        <v>180784</v>
      </c>
      <c r="K370" t="s">
        <v>769</v>
      </c>
      <c r="L370" t="s">
        <v>759</v>
      </c>
      <c r="M370" t="s">
        <v>351</v>
      </c>
    </row>
    <row r="371" spans="1:13" x14ac:dyDescent="0.25">
      <c r="A371" t="s">
        <v>371</v>
      </c>
      <c r="B371" t="s">
        <v>492</v>
      </c>
      <c r="C371" t="s">
        <v>349</v>
      </c>
      <c r="D371"/>
      <c r="E371"/>
      <c r="F371" t="s">
        <v>377</v>
      </c>
      <c r="G371">
        <v>5.0039999999999996</v>
      </c>
      <c r="H371" t="s">
        <v>364</v>
      </c>
      <c r="I371" t="s">
        <v>362</v>
      </c>
      <c r="J371">
        <v>180784</v>
      </c>
      <c r="K371" t="s">
        <v>769</v>
      </c>
      <c r="L371" t="s">
        <v>759</v>
      </c>
      <c r="M371" t="s">
        <v>351</v>
      </c>
    </row>
    <row r="372" spans="1:13" x14ac:dyDescent="0.25">
      <c r="A372" t="s">
        <v>371</v>
      </c>
      <c r="B372" t="s">
        <v>492</v>
      </c>
      <c r="C372" t="s">
        <v>349</v>
      </c>
      <c r="D372"/>
      <c r="E372"/>
      <c r="F372" t="s">
        <v>377</v>
      </c>
      <c r="G372">
        <v>5.0039999999999996</v>
      </c>
      <c r="H372" t="s">
        <v>364</v>
      </c>
      <c r="I372" t="s">
        <v>362</v>
      </c>
      <c r="J372">
        <v>180784</v>
      </c>
      <c r="K372" t="s">
        <v>769</v>
      </c>
      <c r="L372" t="s">
        <v>759</v>
      </c>
      <c r="M372" t="s">
        <v>351</v>
      </c>
    </row>
    <row r="373" spans="1:13" x14ac:dyDescent="0.25">
      <c r="A373" t="s">
        <v>371</v>
      </c>
      <c r="B373" t="s">
        <v>492</v>
      </c>
      <c r="C373" t="s">
        <v>349</v>
      </c>
      <c r="D373"/>
      <c r="E373"/>
      <c r="F373" t="s">
        <v>377</v>
      </c>
      <c r="G373">
        <v>5.0039999999999996</v>
      </c>
      <c r="H373" t="s">
        <v>364</v>
      </c>
      <c r="I373" t="s">
        <v>362</v>
      </c>
      <c r="J373">
        <v>180784</v>
      </c>
      <c r="K373" t="s">
        <v>769</v>
      </c>
      <c r="L373" t="s">
        <v>759</v>
      </c>
      <c r="M373" t="s">
        <v>351</v>
      </c>
    </row>
    <row r="374" spans="1:13" x14ac:dyDescent="0.25">
      <c r="A374" t="s">
        <v>782</v>
      </c>
      <c r="B374" t="s">
        <v>841</v>
      </c>
      <c r="C374" t="s">
        <v>349</v>
      </c>
      <c r="D374"/>
      <c r="E374"/>
      <c r="F374"/>
      <c r="G374">
        <v>5.0039999999999996</v>
      </c>
      <c r="H374" t="s">
        <v>364</v>
      </c>
      <c r="I374" t="s">
        <v>362</v>
      </c>
      <c r="J374">
        <v>180784</v>
      </c>
      <c r="K374" t="s">
        <v>769</v>
      </c>
      <c r="L374" t="s">
        <v>759</v>
      </c>
      <c r="M374" t="s">
        <v>351</v>
      </c>
    </row>
    <row r="375" spans="1:13" x14ac:dyDescent="0.25">
      <c r="A375" t="s">
        <v>782</v>
      </c>
      <c r="B375" t="s">
        <v>841</v>
      </c>
      <c r="C375" t="s">
        <v>349</v>
      </c>
      <c r="D375"/>
      <c r="E375"/>
      <c r="F375"/>
      <c r="G375">
        <v>5.0039999999999996</v>
      </c>
      <c r="H375" t="s">
        <v>364</v>
      </c>
      <c r="I375" t="s">
        <v>362</v>
      </c>
      <c r="J375">
        <v>180784</v>
      </c>
      <c r="K375" t="s">
        <v>769</v>
      </c>
      <c r="L375" t="s">
        <v>759</v>
      </c>
      <c r="M375" t="s">
        <v>351</v>
      </c>
    </row>
    <row r="376" spans="1:13" x14ac:dyDescent="0.25">
      <c r="A376" t="s">
        <v>539</v>
      </c>
      <c r="B376" t="s">
        <v>566</v>
      </c>
      <c r="C376" t="s">
        <v>349</v>
      </c>
      <c r="D376"/>
      <c r="E376"/>
      <c r="F376"/>
      <c r="G376">
        <v>5.0039999999999996</v>
      </c>
      <c r="H376" t="s">
        <v>364</v>
      </c>
      <c r="I376" t="s">
        <v>362</v>
      </c>
      <c r="J376">
        <v>180784</v>
      </c>
      <c r="K376" t="s">
        <v>769</v>
      </c>
      <c r="L376" t="s">
        <v>759</v>
      </c>
      <c r="M376" t="s">
        <v>351</v>
      </c>
    </row>
    <row r="377" spans="1:13" x14ac:dyDescent="0.25">
      <c r="A377" t="s">
        <v>539</v>
      </c>
      <c r="B377" t="s">
        <v>566</v>
      </c>
      <c r="C377" t="s">
        <v>349</v>
      </c>
      <c r="D377"/>
      <c r="E377"/>
      <c r="F377"/>
      <c r="G377">
        <v>5.0039999999999996</v>
      </c>
      <c r="H377" t="s">
        <v>364</v>
      </c>
      <c r="I377" t="s">
        <v>362</v>
      </c>
      <c r="J377">
        <v>180784</v>
      </c>
      <c r="K377" t="s">
        <v>769</v>
      </c>
      <c r="L377" t="s">
        <v>759</v>
      </c>
      <c r="M377" t="s">
        <v>351</v>
      </c>
    </row>
    <row r="378" spans="1:13" x14ac:dyDescent="0.25">
      <c r="A378" t="s">
        <v>539</v>
      </c>
      <c r="B378" t="s">
        <v>566</v>
      </c>
      <c r="C378" t="s">
        <v>349</v>
      </c>
      <c r="D378"/>
      <c r="E378"/>
      <c r="F378"/>
      <c r="G378">
        <v>5.0039999999999996</v>
      </c>
      <c r="H378" t="s">
        <v>368</v>
      </c>
      <c r="I378" t="s">
        <v>362</v>
      </c>
      <c r="J378">
        <v>180784</v>
      </c>
      <c r="K378" t="s">
        <v>769</v>
      </c>
      <c r="L378" t="s">
        <v>759</v>
      </c>
      <c r="M378" t="s">
        <v>351</v>
      </c>
    </row>
    <row r="379" spans="1:13" x14ac:dyDescent="0.25">
      <c r="A379" t="s">
        <v>539</v>
      </c>
      <c r="B379" t="s">
        <v>566</v>
      </c>
      <c r="C379" t="s">
        <v>349</v>
      </c>
      <c r="D379"/>
      <c r="E379"/>
      <c r="F379"/>
      <c r="G379">
        <v>5.0039999999999996</v>
      </c>
      <c r="H379" t="s">
        <v>368</v>
      </c>
      <c r="I379" t="s">
        <v>362</v>
      </c>
      <c r="J379">
        <v>180784</v>
      </c>
      <c r="K379" t="s">
        <v>769</v>
      </c>
      <c r="L379" t="s">
        <v>759</v>
      </c>
      <c r="M379" t="s">
        <v>351</v>
      </c>
    </row>
    <row r="380" spans="1:13" x14ac:dyDescent="0.25">
      <c r="A380" t="s">
        <v>560</v>
      </c>
      <c r="B380"/>
      <c r="C380" t="s">
        <v>349</v>
      </c>
      <c r="D380"/>
      <c r="E380"/>
      <c r="F380"/>
      <c r="G380">
        <v>5.0039999999999996</v>
      </c>
      <c r="H380" t="s">
        <v>364</v>
      </c>
      <c r="I380" t="s">
        <v>362</v>
      </c>
      <c r="J380">
        <v>180784</v>
      </c>
      <c r="K380" t="s">
        <v>769</v>
      </c>
      <c r="L380" t="s">
        <v>759</v>
      </c>
      <c r="M380" t="s">
        <v>351</v>
      </c>
    </row>
    <row r="381" spans="1:13" x14ac:dyDescent="0.25">
      <c r="A381" t="s">
        <v>553</v>
      </c>
      <c r="B381"/>
      <c r="C381" t="s">
        <v>349</v>
      </c>
      <c r="D381"/>
      <c r="E381"/>
      <c r="F381" t="s">
        <v>421</v>
      </c>
      <c r="G381">
        <v>8.0020000000000007</v>
      </c>
      <c r="H381" t="s">
        <v>356</v>
      </c>
      <c r="I381" t="s">
        <v>362</v>
      </c>
      <c r="J381">
        <v>180784</v>
      </c>
      <c r="K381" t="s">
        <v>769</v>
      </c>
      <c r="L381" t="s">
        <v>759</v>
      </c>
      <c r="M381" t="s">
        <v>351</v>
      </c>
    </row>
    <row r="382" spans="1:13" x14ac:dyDescent="0.25">
      <c r="A382" t="s">
        <v>520</v>
      </c>
      <c r="B382"/>
      <c r="C382" t="s">
        <v>349</v>
      </c>
      <c r="D382"/>
      <c r="E382"/>
      <c r="F382" t="s">
        <v>459</v>
      </c>
      <c r="G382">
        <v>10.007999999999999</v>
      </c>
      <c r="H382" t="s">
        <v>364</v>
      </c>
      <c r="I382" t="s">
        <v>362</v>
      </c>
      <c r="J382">
        <v>180784</v>
      </c>
      <c r="K382" t="s">
        <v>769</v>
      </c>
      <c r="L382" t="s">
        <v>759</v>
      </c>
      <c r="M382" t="s">
        <v>351</v>
      </c>
    </row>
    <row r="383" spans="1:13" x14ac:dyDescent="0.25">
      <c r="A383" t="s">
        <v>490</v>
      </c>
      <c r="B383"/>
      <c r="C383" t="s">
        <v>349</v>
      </c>
      <c r="D383"/>
      <c r="E383"/>
      <c r="F383" t="s">
        <v>380</v>
      </c>
      <c r="G383">
        <v>14.991</v>
      </c>
      <c r="H383" t="s">
        <v>367</v>
      </c>
      <c r="I383" t="s">
        <v>362</v>
      </c>
      <c r="J383">
        <v>180784</v>
      </c>
      <c r="K383" t="s">
        <v>769</v>
      </c>
      <c r="L383" t="s">
        <v>759</v>
      </c>
      <c r="M383" t="s">
        <v>351</v>
      </c>
    </row>
    <row r="384" spans="1:13" x14ac:dyDescent="0.25">
      <c r="A384" t="s">
        <v>490</v>
      </c>
      <c r="B384"/>
      <c r="C384" t="s">
        <v>349</v>
      </c>
      <c r="D384"/>
      <c r="E384"/>
      <c r="F384" t="s">
        <v>380</v>
      </c>
      <c r="G384">
        <v>14.991</v>
      </c>
      <c r="H384" t="s">
        <v>367</v>
      </c>
      <c r="I384" t="s">
        <v>362</v>
      </c>
      <c r="J384">
        <v>180784</v>
      </c>
      <c r="K384" t="s">
        <v>769</v>
      </c>
      <c r="L384" t="s">
        <v>759</v>
      </c>
      <c r="M384" t="s">
        <v>351</v>
      </c>
    </row>
    <row r="385" spans="1:13" x14ac:dyDescent="0.25">
      <c r="A385" t="s">
        <v>560</v>
      </c>
      <c r="B385"/>
      <c r="C385" t="s">
        <v>349</v>
      </c>
      <c r="D385"/>
      <c r="E385"/>
      <c r="F385"/>
      <c r="G385">
        <v>14.991</v>
      </c>
      <c r="H385" t="s">
        <v>393</v>
      </c>
      <c r="I385" t="s">
        <v>362</v>
      </c>
      <c r="J385">
        <v>180784</v>
      </c>
      <c r="K385" t="s">
        <v>769</v>
      </c>
      <c r="L385" t="s">
        <v>759</v>
      </c>
      <c r="M385" t="s">
        <v>351</v>
      </c>
    </row>
    <row r="386" spans="1:13" x14ac:dyDescent="0.25">
      <c r="A386" t="s">
        <v>560</v>
      </c>
      <c r="B386"/>
      <c r="C386" t="s">
        <v>349</v>
      </c>
      <c r="D386"/>
      <c r="E386"/>
      <c r="F386"/>
      <c r="G386">
        <v>14.991</v>
      </c>
      <c r="H386" t="s">
        <v>393</v>
      </c>
      <c r="I386" t="s">
        <v>362</v>
      </c>
      <c r="J386">
        <v>180784</v>
      </c>
      <c r="K386" t="s">
        <v>769</v>
      </c>
      <c r="L386" t="s">
        <v>759</v>
      </c>
      <c r="M386" t="s">
        <v>351</v>
      </c>
    </row>
    <row r="387" spans="1:13" x14ac:dyDescent="0.25">
      <c r="A387" t="s">
        <v>408</v>
      </c>
      <c r="B387"/>
      <c r="C387" t="s">
        <v>349</v>
      </c>
      <c r="D387"/>
      <c r="E387"/>
      <c r="F387" t="s">
        <v>474</v>
      </c>
      <c r="G387">
        <v>39.991</v>
      </c>
      <c r="H387" t="s">
        <v>364</v>
      </c>
      <c r="I387" t="s">
        <v>901</v>
      </c>
      <c r="J387">
        <v>180784</v>
      </c>
      <c r="K387" t="s">
        <v>769</v>
      </c>
      <c r="L387" t="s">
        <v>759</v>
      </c>
      <c r="M387" t="s">
        <v>351</v>
      </c>
    </row>
    <row r="388" spans="1:13" x14ac:dyDescent="0.25">
      <c r="A388" t="s">
        <v>378</v>
      </c>
      <c r="B388"/>
      <c r="C388"/>
      <c r="D388"/>
      <c r="E388"/>
      <c r="F388"/>
      <c r="G388">
        <v>2.0059999999999998</v>
      </c>
      <c r="H388" t="s">
        <v>364</v>
      </c>
      <c r="I388" t="s">
        <v>362</v>
      </c>
      <c r="J388">
        <v>180784</v>
      </c>
      <c r="K388" t="s">
        <v>769</v>
      </c>
      <c r="L388" t="s">
        <v>759</v>
      </c>
      <c r="M388" t="s">
        <v>351</v>
      </c>
    </row>
    <row r="389" spans="1:13" x14ac:dyDescent="0.25">
      <c r="A389" t="s">
        <v>399</v>
      </c>
      <c r="B389"/>
      <c r="C389"/>
      <c r="D389"/>
      <c r="E389"/>
      <c r="F389"/>
      <c r="G389">
        <v>3.99</v>
      </c>
      <c r="H389" t="s">
        <v>393</v>
      </c>
      <c r="I389" t="s">
        <v>362</v>
      </c>
      <c r="J389">
        <v>180784</v>
      </c>
      <c r="K389" t="s">
        <v>769</v>
      </c>
      <c r="L389" t="s">
        <v>759</v>
      </c>
      <c r="M389" t="s">
        <v>351</v>
      </c>
    </row>
    <row r="390" spans="1:13" x14ac:dyDescent="0.25">
      <c r="A390" t="s">
        <v>399</v>
      </c>
      <c r="B390"/>
      <c r="C390"/>
      <c r="D390"/>
      <c r="E390"/>
      <c r="F390"/>
      <c r="G390">
        <v>3.99</v>
      </c>
      <c r="H390" t="s">
        <v>393</v>
      </c>
      <c r="I390" t="s">
        <v>362</v>
      </c>
      <c r="J390">
        <v>180784</v>
      </c>
      <c r="K390" t="s">
        <v>769</v>
      </c>
      <c r="L390" t="s">
        <v>759</v>
      </c>
      <c r="M390" t="s">
        <v>351</v>
      </c>
    </row>
    <row r="391" spans="1:13" x14ac:dyDescent="0.25">
      <c r="A391" t="s">
        <v>399</v>
      </c>
      <c r="B391"/>
      <c r="C391"/>
      <c r="D391"/>
      <c r="E391"/>
      <c r="F391"/>
      <c r="G391">
        <v>3.99</v>
      </c>
      <c r="H391" t="s">
        <v>393</v>
      </c>
      <c r="I391" t="s">
        <v>362</v>
      </c>
      <c r="J391">
        <v>180784</v>
      </c>
      <c r="K391" t="s">
        <v>769</v>
      </c>
      <c r="L391" t="s">
        <v>759</v>
      </c>
      <c r="M391" t="s">
        <v>351</v>
      </c>
    </row>
    <row r="392" spans="1:13" x14ac:dyDescent="0.25">
      <c r="A392" t="s">
        <v>399</v>
      </c>
      <c r="B392"/>
      <c r="C392"/>
      <c r="D392"/>
      <c r="E392"/>
      <c r="F392"/>
      <c r="G392">
        <v>3.99</v>
      </c>
      <c r="H392" t="s">
        <v>393</v>
      </c>
      <c r="I392" t="s">
        <v>362</v>
      </c>
      <c r="J392">
        <v>180784</v>
      </c>
      <c r="K392" t="s">
        <v>769</v>
      </c>
      <c r="L392" t="s">
        <v>759</v>
      </c>
      <c r="M392" t="s">
        <v>351</v>
      </c>
    </row>
    <row r="393" spans="1:13" x14ac:dyDescent="0.25">
      <c r="A393" t="s">
        <v>432</v>
      </c>
      <c r="B393"/>
      <c r="C393"/>
      <c r="D393"/>
      <c r="E393"/>
      <c r="F393"/>
      <c r="G393">
        <v>44.003</v>
      </c>
      <c r="H393" t="s">
        <v>402</v>
      </c>
      <c r="I393" t="s">
        <v>695</v>
      </c>
      <c r="J393">
        <v>180784</v>
      </c>
      <c r="K393" t="s">
        <v>769</v>
      </c>
      <c r="L393" t="s">
        <v>759</v>
      </c>
      <c r="M393" t="s">
        <v>351</v>
      </c>
    </row>
    <row r="394" spans="1:13" x14ac:dyDescent="0.25">
      <c r="A394" t="s">
        <v>432</v>
      </c>
      <c r="B394"/>
      <c r="C394"/>
      <c r="D394"/>
      <c r="E394"/>
      <c r="F394"/>
      <c r="G394">
        <v>50</v>
      </c>
      <c r="H394" t="s">
        <v>637</v>
      </c>
      <c r="I394" t="s">
        <v>695</v>
      </c>
      <c r="J394">
        <v>180784</v>
      </c>
      <c r="K394" t="s">
        <v>769</v>
      </c>
      <c r="L394" t="s">
        <v>759</v>
      </c>
      <c r="M394" t="s">
        <v>351</v>
      </c>
    </row>
    <row r="395" spans="1:13" x14ac:dyDescent="0.25">
      <c r="A395" t="s">
        <v>432</v>
      </c>
      <c r="B395"/>
      <c r="C395"/>
      <c r="D395"/>
      <c r="E395"/>
      <c r="F395"/>
      <c r="G395">
        <v>44.003</v>
      </c>
      <c r="H395" t="s">
        <v>402</v>
      </c>
      <c r="I395" t="s">
        <v>695</v>
      </c>
      <c r="J395">
        <v>180784</v>
      </c>
      <c r="K395" t="s">
        <v>769</v>
      </c>
      <c r="L395" t="s">
        <v>759</v>
      </c>
      <c r="M395" t="s">
        <v>351</v>
      </c>
    </row>
    <row r="396" spans="1:13" x14ac:dyDescent="0.25">
      <c r="A396" t="s">
        <v>360</v>
      </c>
      <c r="B396"/>
      <c r="C396"/>
      <c r="D396"/>
      <c r="E396"/>
      <c r="F396"/>
      <c r="G396">
        <v>5.0039999999999996</v>
      </c>
      <c r="H396" t="s">
        <v>364</v>
      </c>
      <c r="I396" t="s">
        <v>362</v>
      </c>
      <c r="J396">
        <v>180784</v>
      </c>
      <c r="K396" t="s">
        <v>769</v>
      </c>
      <c r="L396" t="s">
        <v>759</v>
      </c>
      <c r="M396" t="s">
        <v>351</v>
      </c>
    </row>
    <row r="397" spans="1:13" x14ac:dyDescent="0.25">
      <c r="A397" t="s">
        <v>360</v>
      </c>
      <c r="B397"/>
      <c r="C397"/>
      <c r="D397"/>
      <c r="E397"/>
      <c r="F397"/>
      <c r="G397">
        <v>5.0039999999999996</v>
      </c>
      <c r="H397" t="s">
        <v>364</v>
      </c>
      <c r="I397" t="s">
        <v>362</v>
      </c>
      <c r="J397">
        <v>180784</v>
      </c>
      <c r="K397" t="s">
        <v>769</v>
      </c>
      <c r="L397" t="s">
        <v>759</v>
      </c>
      <c r="M397" t="s">
        <v>351</v>
      </c>
    </row>
    <row r="398" spans="1:13" x14ac:dyDescent="0.25">
      <c r="A398" t="s">
        <v>360</v>
      </c>
      <c r="B398"/>
      <c r="C398"/>
      <c r="D398"/>
      <c r="E398"/>
      <c r="F398"/>
      <c r="G398">
        <v>5.0039999999999996</v>
      </c>
      <c r="H398" t="s">
        <v>356</v>
      </c>
      <c r="I398" t="s">
        <v>362</v>
      </c>
      <c r="J398">
        <v>180784</v>
      </c>
      <c r="K398" t="s">
        <v>769</v>
      </c>
      <c r="L398" t="s">
        <v>759</v>
      </c>
      <c r="M398" t="s">
        <v>351</v>
      </c>
    </row>
    <row r="399" spans="1:13" x14ac:dyDescent="0.25">
      <c r="A399" t="s">
        <v>360</v>
      </c>
      <c r="B399"/>
      <c r="C399"/>
      <c r="D399"/>
      <c r="E399"/>
      <c r="F399"/>
      <c r="G399">
        <v>5.0039999999999996</v>
      </c>
      <c r="H399" t="s">
        <v>364</v>
      </c>
      <c r="I399" t="s">
        <v>362</v>
      </c>
      <c r="J399">
        <v>180784</v>
      </c>
      <c r="K399" t="s">
        <v>769</v>
      </c>
      <c r="L399" t="s">
        <v>759</v>
      </c>
      <c r="M399" t="s">
        <v>351</v>
      </c>
    </row>
    <row r="400" spans="1:13" x14ac:dyDescent="0.25">
      <c r="A400" t="s">
        <v>363</v>
      </c>
      <c r="B400" t="s">
        <v>392</v>
      </c>
      <c r="C400"/>
      <c r="D400"/>
      <c r="E400"/>
      <c r="F400"/>
      <c r="G400">
        <v>5.0039999999999996</v>
      </c>
      <c r="H400" t="s">
        <v>361</v>
      </c>
      <c r="I400" t="s">
        <v>362</v>
      </c>
      <c r="J400">
        <v>180784</v>
      </c>
      <c r="K400" t="s">
        <v>769</v>
      </c>
      <c r="L400" t="s">
        <v>759</v>
      </c>
      <c r="M400" t="s">
        <v>351</v>
      </c>
    </row>
    <row r="401" spans="1:13" x14ac:dyDescent="0.25">
      <c r="A401" t="s">
        <v>363</v>
      </c>
      <c r="B401" t="s">
        <v>392</v>
      </c>
      <c r="C401"/>
      <c r="D401"/>
      <c r="E401"/>
      <c r="F401"/>
      <c r="G401">
        <v>5.0039999999999996</v>
      </c>
      <c r="H401" t="s">
        <v>367</v>
      </c>
      <c r="I401" t="s">
        <v>362</v>
      </c>
      <c r="J401">
        <v>180784</v>
      </c>
      <c r="K401" t="s">
        <v>769</v>
      </c>
      <c r="L401" t="s">
        <v>759</v>
      </c>
      <c r="M401" t="s">
        <v>351</v>
      </c>
    </row>
    <row r="402" spans="1:13" x14ac:dyDescent="0.25">
      <c r="A402" t="s">
        <v>363</v>
      </c>
      <c r="B402" t="s">
        <v>392</v>
      </c>
      <c r="C402"/>
      <c r="D402"/>
      <c r="E402"/>
      <c r="F402"/>
      <c r="G402">
        <v>5.0039999999999996</v>
      </c>
      <c r="H402" t="s">
        <v>361</v>
      </c>
      <c r="I402" t="s">
        <v>362</v>
      </c>
      <c r="J402">
        <v>180784</v>
      </c>
      <c r="K402" t="s">
        <v>769</v>
      </c>
      <c r="L402" t="s">
        <v>759</v>
      </c>
      <c r="M402" t="s">
        <v>351</v>
      </c>
    </row>
    <row r="403" spans="1:13" x14ac:dyDescent="0.25">
      <c r="A403" t="s">
        <v>353</v>
      </c>
      <c r="B403"/>
      <c r="C403"/>
      <c r="D403"/>
      <c r="E403"/>
      <c r="F403"/>
      <c r="G403">
        <v>10.007999999999999</v>
      </c>
      <c r="H403" t="s">
        <v>368</v>
      </c>
      <c r="I403" t="s">
        <v>362</v>
      </c>
      <c r="J403">
        <v>180784</v>
      </c>
      <c r="K403" t="s">
        <v>769</v>
      </c>
      <c r="L403" t="s">
        <v>759</v>
      </c>
      <c r="M403" t="s">
        <v>351</v>
      </c>
    </row>
    <row r="404" spans="1:13" x14ac:dyDescent="0.25">
      <c r="A404" t="s">
        <v>353</v>
      </c>
      <c r="B404"/>
      <c r="C404"/>
      <c r="D404"/>
      <c r="E404"/>
      <c r="F404"/>
      <c r="G404">
        <v>0.99199999999999999</v>
      </c>
      <c r="H404" t="s">
        <v>364</v>
      </c>
      <c r="I404" t="s">
        <v>362</v>
      </c>
      <c r="J404">
        <v>180784</v>
      </c>
      <c r="K404" t="s">
        <v>769</v>
      </c>
      <c r="L404" t="s">
        <v>759</v>
      </c>
      <c r="M404" t="s">
        <v>351</v>
      </c>
    </row>
    <row r="405" spans="1:13" x14ac:dyDescent="0.25">
      <c r="A405" t="s">
        <v>353</v>
      </c>
      <c r="B405"/>
      <c r="C405"/>
      <c r="D405"/>
      <c r="E405"/>
      <c r="F405"/>
      <c r="G405">
        <v>10.007999999999999</v>
      </c>
      <c r="H405" t="s">
        <v>368</v>
      </c>
      <c r="I405" t="s">
        <v>362</v>
      </c>
      <c r="J405">
        <v>180784</v>
      </c>
      <c r="K405" t="s">
        <v>769</v>
      </c>
      <c r="L405" t="s">
        <v>759</v>
      </c>
      <c r="M405" t="s">
        <v>351</v>
      </c>
    </row>
    <row r="406" spans="1:13" x14ac:dyDescent="0.25">
      <c r="A406" t="s">
        <v>760</v>
      </c>
      <c r="B406" t="s">
        <v>761</v>
      </c>
      <c r="C406" t="s">
        <v>349</v>
      </c>
      <c r="D406"/>
      <c r="E406"/>
      <c r="F406"/>
      <c r="G406">
        <v>0.99199999999999999</v>
      </c>
      <c r="H406" t="s">
        <v>356</v>
      </c>
      <c r="I406" t="s">
        <v>762</v>
      </c>
      <c r="J406">
        <v>180786</v>
      </c>
      <c r="K406" t="s">
        <v>763</v>
      </c>
      <c r="L406" t="s">
        <v>694</v>
      </c>
      <c r="M406" t="s">
        <v>351</v>
      </c>
    </row>
    <row r="407" spans="1:13" x14ac:dyDescent="0.25">
      <c r="A407" t="s">
        <v>542</v>
      </c>
      <c r="B407"/>
      <c r="C407" t="s">
        <v>349</v>
      </c>
      <c r="D407"/>
      <c r="E407"/>
      <c r="F407" t="s">
        <v>766</v>
      </c>
      <c r="G407">
        <v>0.99199999999999999</v>
      </c>
      <c r="H407" t="s">
        <v>364</v>
      </c>
      <c r="I407" t="s">
        <v>762</v>
      </c>
      <c r="J407">
        <v>180786</v>
      </c>
      <c r="K407" t="s">
        <v>763</v>
      </c>
      <c r="L407" t="s">
        <v>694</v>
      </c>
      <c r="M407" t="s">
        <v>351</v>
      </c>
    </row>
    <row r="408" spans="1:13" x14ac:dyDescent="0.25">
      <c r="A408" t="s">
        <v>371</v>
      </c>
      <c r="B408" t="s">
        <v>492</v>
      </c>
      <c r="C408" t="s">
        <v>349</v>
      </c>
      <c r="D408"/>
      <c r="E408"/>
      <c r="F408" t="s">
        <v>838</v>
      </c>
      <c r="G408">
        <v>5.0039999999999996</v>
      </c>
      <c r="H408" t="s">
        <v>364</v>
      </c>
      <c r="I408" t="s">
        <v>762</v>
      </c>
      <c r="J408">
        <v>180786</v>
      </c>
      <c r="K408" t="s">
        <v>763</v>
      </c>
      <c r="L408" t="s">
        <v>694</v>
      </c>
      <c r="M408" t="s">
        <v>351</v>
      </c>
    </row>
    <row r="409" spans="1:13" x14ac:dyDescent="0.25">
      <c r="A409" t="s">
        <v>371</v>
      </c>
      <c r="B409" t="s">
        <v>492</v>
      </c>
      <c r="C409" t="s">
        <v>349</v>
      </c>
      <c r="D409"/>
      <c r="E409"/>
      <c r="F409" t="s">
        <v>838</v>
      </c>
      <c r="G409">
        <v>5.0039999999999996</v>
      </c>
      <c r="H409" t="s">
        <v>364</v>
      </c>
      <c r="I409" t="s">
        <v>762</v>
      </c>
      <c r="J409">
        <v>180786</v>
      </c>
      <c r="K409" t="s">
        <v>763</v>
      </c>
      <c r="L409" t="s">
        <v>694</v>
      </c>
      <c r="M409" t="s">
        <v>351</v>
      </c>
    </row>
    <row r="410" spans="1:13" x14ac:dyDescent="0.25">
      <c r="A410" t="s">
        <v>539</v>
      </c>
      <c r="B410" t="s">
        <v>566</v>
      </c>
      <c r="C410" t="s">
        <v>349</v>
      </c>
      <c r="D410"/>
      <c r="E410"/>
      <c r="F410"/>
      <c r="G410">
        <v>5.0039999999999996</v>
      </c>
      <c r="H410" t="s">
        <v>364</v>
      </c>
      <c r="I410" t="s">
        <v>762</v>
      </c>
      <c r="J410">
        <v>180786</v>
      </c>
      <c r="K410" t="s">
        <v>763</v>
      </c>
      <c r="L410" t="s">
        <v>694</v>
      </c>
      <c r="M410" t="s">
        <v>351</v>
      </c>
    </row>
    <row r="411" spans="1:13" x14ac:dyDescent="0.25">
      <c r="A411" t="s">
        <v>560</v>
      </c>
      <c r="B411"/>
      <c r="C411" t="s">
        <v>349</v>
      </c>
      <c r="D411"/>
      <c r="E411"/>
      <c r="F411"/>
      <c r="G411">
        <v>5.0039999999999996</v>
      </c>
      <c r="H411" t="s">
        <v>364</v>
      </c>
      <c r="I411" t="s">
        <v>762</v>
      </c>
      <c r="J411">
        <v>180786</v>
      </c>
      <c r="K411" t="s">
        <v>763</v>
      </c>
      <c r="L411" t="s">
        <v>694</v>
      </c>
      <c r="M411" t="s">
        <v>351</v>
      </c>
    </row>
    <row r="412" spans="1:13" x14ac:dyDescent="0.25">
      <c r="A412" t="s">
        <v>560</v>
      </c>
      <c r="B412"/>
      <c r="C412" t="s">
        <v>349</v>
      </c>
      <c r="D412"/>
      <c r="E412"/>
      <c r="F412"/>
      <c r="G412">
        <v>5.0039999999999996</v>
      </c>
      <c r="H412" t="s">
        <v>364</v>
      </c>
      <c r="I412" t="s">
        <v>762</v>
      </c>
      <c r="J412">
        <v>180786</v>
      </c>
      <c r="K412" t="s">
        <v>763</v>
      </c>
      <c r="L412" t="s">
        <v>694</v>
      </c>
      <c r="M412" t="s">
        <v>351</v>
      </c>
    </row>
    <row r="413" spans="1:13" x14ac:dyDescent="0.25">
      <c r="A413" t="s">
        <v>435</v>
      </c>
      <c r="B413" t="s">
        <v>844</v>
      </c>
      <c r="C413" t="s">
        <v>349</v>
      </c>
      <c r="D413"/>
      <c r="E413"/>
      <c r="F413"/>
      <c r="G413">
        <v>5.0039999999999996</v>
      </c>
      <c r="H413" t="s">
        <v>393</v>
      </c>
      <c r="I413" t="s">
        <v>762</v>
      </c>
      <c r="J413">
        <v>180786</v>
      </c>
      <c r="K413" t="s">
        <v>763</v>
      </c>
      <c r="L413" t="s">
        <v>694</v>
      </c>
      <c r="M413" t="s">
        <v>351</v>
      </c>
    </row>
    <row r="414" spans="1:13" x14ac:dyDescent="0.25">
      <c r="A414" t="s">
        <v>497</v>
      </c>
      <c r="B414" t="s">
        <v>561</v>
      </c>
      <c r="C414" t="s">
        <v>349</v>
      </c>
      <c r="D414"/>
      <c r="E414"/>
      <c r="F414" s="30" t="s">
        <v>1112</v>
      </c>
      <c r="G414">
        <v>5.0039999999999996</v>
      </c>
      <c r="H414" t="s">
        <v>367</v>
      </c>
      <c r="I414" t="s">
        <v>762</v>
      </c>
      <c r="J414">
        <v>180786</v>
      </c>
      <c r="K414" t="s">
        <v>763</v>
      </c>
      <c r="L414" t="s">
        <v>694</v>
      </c>
      <c r="M414" t="s">
        <v>351</v>
      </c>
    </row>
    <row r="415" spans="1:13" x14ac:dyDescent="0.25">
      <c r="A415" t="s">
        <v>554</v>
      </c>
      <c r="B415"/>
      <c r="C415" t="s">
        <v>349</v>
      </c>
      <c r="D415"/>
      <c r="E415"/>
      <c r="F415" t="s">
        <v>854</v>
      </c>
      <c r="G415">
        <v>8.0020000000000007</v>
      </c>
      <c r="H415" t="s">
        <v>356</v>
      </c>
      <c r="I415" t="s">
        <v>762</v>
      </c>
      <c r="J415">
        <v>180786</v>
      </c>
      <c r="K415" t="s">
        <v>763</v>
      </c>
      <c r="L415" t="s">
        <v>694</v>
      </c>
      <c r="M415" t="s">
        <v>351</v>
      </c>
    </row>
    <row r="416" spans="1:13" x14ac:dyDescent="0.25">
      <c r="A416" t="s">
        <v>385</v>
      </c>
      <c r="B416" t="s">
        <v>559</v>
      </c>
      <c r="C416" t="s">
        <v>349</v>
      </c>
      <c r="D416"/>
      <c r="E416"/>
      <c r="F416"/>
      <c r="G416">
        <v>8.0020000000000007</v>
      </c>
      <c r="H416" t="s">
        <v>364</v>
      </c>
      <c r="I416" t="s">
        <v>762</v>
      </c>
      <c r="J416">
        <v>180786</v>
      </c>
      <c r="K416" t="s">
        <v>763</v>
      </c>
      <c r="L416" t="s">
        <v>694</v>
      </c>
      <c r="M416" t="s">
        <v>351</v>
      </c>
    </row>
    <row r="417" spans="1:13" x14ac:dyDescent="0.25">
      <c r="A417" t="s">
        <v>397</v>
      </c>
      <c r="B417"/>
      <c r="C417" t="s">
        <v>349</v>
      </c>
      <c r="D417"/>
      <c r="E417"/>
      <c r="F417" t="s">
        <v>690</v>
      </c>
      <c r="G417">
        <v>10.007999999999999</v>
      </c>
      <c r="H417" t="s">
        <v>368</v>
      </c>
      <c r="I417" t="s">
        <v>762</v>
      </c>
      <c r="J417">
        <v>180786</v>
      </c>
      <c r="K417" t="s">
        <v>763</v>
      </c>
      <c r="L417" t="s">
        <v>694</v>
      </c>
      <c r="M417" t="s">
        <v>351</v>
      </c>
    </row>
    <row r="418" spans="1:13" x14ac:dyDescent="0.25">
      <c r="A418" t="s">
        <v>495</v>
      </c>
      <c r="B418" t="s">
        <v>496</v>
      </c>
      <c r="C418" t="s">
        <v>349</v>
      </c>
      <c r="D418"/>
      <c r="E418"/>
      <c r="F418"/>
      <c r="G418">
        <v>10.007999999999999</v>
      </c>
      <c r="H418" t="s">
        <v>393</v>
      </c>
      <c r="I418" t="s">
        <v>762</v>
      </c>
      <c r="J418">
        <v>180786</v>
      </c>
      <c r="K418" t="s">
        <v>763</v>
      </c>
      <c r="L418" t="s">
        <v>694</v>
      </c>
      <c r="M418" t="s">
        <v>351</v>
      </c>
    </row>
    <row r="419" spans="1:13" x14ac:dyDescent="0.25">
      <c r="A419" t="s">
        <v>432</v>
      </c>
      <c r="B419"/>
      <c r="C419"/>
      <c r="D419"/>
      <c r="E419"/>
      <c r="F419"/>
      <c r="G419">
        <v>50</v>
      </c>
      <c r="H419" t="s">
        <v>940</v>
      </c>
      <c r="I419" t="s">
        <v>966</v>
      </c>
      <c r="J419">
        <v>180786</v>
      </c>
      <c r="K419" t="s">
        <v>763</v>
      </c>
      <c r="L419" t="s">
        <v>694</v>
      </c>
      <c r="M419" t="s">
        <v>351</v>
      </c>
    </row>
    <row r="420" spans="1:13" x14ac:dyDescent="0.25">
      <c r="A420" t="s">
        <v>432</v>
      </c>
      <c r="B420"/>
      <c r="C420"/>
      <c r="D420"/>
      <c r="E420"/>
      <c r="F420"/>
      <c r="G420">
        <v>50</v>
      </c>
      <c r="H420" t="s">
        <v>536</v>
      </c>
      <c r="I420" t="s">
        <v>966</v>
      </c>
      <c r="J420">
        <v>180786</v>
      </c>
      <c r="K420" t="s">
        <v>763</v>
      </c>
      <c r="L420" t="s">
        <v>694</v>
      </c>
      <c r="M420" t="s">
        <v>351</v>
      </c>
    </row>
    <row r="421" spans="1:13" x14ac:dyDescent="0.25">
      <c r="A421" t="s">
        <v>360</v>
      </c>
      <c r="B421"/>
      <c r="C421"/>
      <c r="D421"/>
      <c r="E421"/>
      <c r="F421"/>
      <c r="G421">
        <v>5.0039999999999996</v>
      </c>
      <c r="H421" t="s">
        <v>364</v>
      </c>
      <c r="I421" t="s">
        <v>762</v>
      </c>
      <c r="J421">
        <v>180786</v>
      </c>
      <c r="K421" t="s">
        <v>763</v>
      </c>
      <c r="L421" t="s">
        <v>694</v>
      </c>
      <c r="M421" t="s">
        <v>351</v>
      </c>
    </row>
    <row r="422" spans="1:13" x14ac:dyDescent="0.25">
      <c r="A422" t="s">
        <v>363</v>
      </c>
      <c r="B422" t="s">
        <v>392</v>
      </c>
      <c r="C422"/>
      <c r="D422"/>
      <c r="E422"/>
      <c r="F422"/>
      <c r="G422">
        <v>5.0039999999999996</v>
      </c>
      <c r="H422" t="s">
        <v>367</v>
      </c>
      <c r="I422" t="s">
        <v>762</v>
      </c>
      <c r="J422">
        <v>180786</v>
      </c>
      <c r="K422" t="s">
        <v>763</v>
      </c>
      <c r="L422" t="s">
        <v>694</v>
      </c>
      <c r="M422" t="s">
        <v>351</v>
      </c>
    </row>
    <row r="423" spans="1:13" x14ac:dyDescent="0.25">
      <c r="A423" t="s">
        <v>363</v>
      </c>
      <c r="B423" t="s">
        <v>392</v>
      </c>
      <c r="C423"/>
      <c r="D423"/>
      <c r="E423"/>
      <c r="F423"/>
      <c r="G423">
        <v>5.0039999999999996</v>
      </c>
      <c r="H423" t="s">
        <v>361</v>
      </c>
      <c r="I423" t="s">
        <v>762</v>
      </c>
      <c r="J423">
        <v>180786</v>
      </c>
      <c r="K423" t="s">
        <v>763</v>
      </c>
      <c r="L423" t="s">
        <v>694</v>
      </c>
      <c r="M423" t="s">
        <v>351</v>
      </c>
    </row>
    <row r="424" spans="1:13" x14ac:dyDescent="0.25">
      <c r="A424" t="s">
        <v>396</v>
      </c>
      <c r="B424"/>
      <c r="C424"/>
      <c r="D424"/>
      <c r="E424"/>
      <c r="F424"/>
      <c r="G424">
        <v>10.007999999999999</v>
      </c>
      <c r="H424" t="s">
        <v>367</v>
      </c>
      <c r="I424" t="s">
        <v>762</v>
      </c>
      <c r="J424">
        <v>180786</v>
      </c>
      <c r="K424" t="s">
        <v>763</v>
      </c>
      <c r="L424" t="s">
        <v>694</v>
      </c>
      <c r="M424" t="s">
        <v>351</v>
      </c>
    </row>
    <row r="425" spans="1:13" x14ac:dyDescent="0.25">
      <c r="A425" t="s">
        <v>396</v>
      </c>
      <c r="B425"/>
      <c r="C425"/>
      <c r="D425"/>
      <c r="E425"/>
      <c r="F425"/>
      <c r="G425">
        <v>10.007999999999999</v>
      </c>
      <c r="H425" t="s">
        <v>367</v>
      </c>
      <c r="I425" t="s">
        <v>762</v>
      </c>
      <c r="J425">
        <v>180786</v>
      </c>
      <c r="K425" t="s">
        <v>763</v>
      </c>
      <c r="L425" t="s">
        <v>694</v>
      </c>
      <c r="M425" t="s">
        <v>351</v>
      </c>
    </row>
    <row r="426" spans="1:13" x14ac:dyDescent="0.25">
      <c r="A426" t="s">
        <v>353</v>
      </c>
      <c r="B426"/>
      <c r="C426"/>
      <c r="D426"/>
      <c r="E426"/>
      <c r="F426"/>
      <c r="G426">
        <v>10.007999999999999</v>
      </c>
      <c r="H426" t="s">
        <v>368</v>
      </c>
      <c r="I426" t="s">
        <v>762</v>
      </c>
      <c r="J426">
        <v>180786</v>
      </c>
      <c r="K426" t="s">
        <v>763</v>
      </c>
      <c r="L426" t="s">
        <v>694</v>
      </c>
      <c r="M426" t="s">
        <v>351</v>
      </c>
    </row>
    <row r="427" spans="1:13" x14ac:dyDescent="0.25">
      <c r="A427" t="s">
        <v>353</v>
      </c>
      <c r="B427"/>
      <c r="C427"/>
      <c r="D427"/>
      <c r="E427"/>
      <c r="F427"/>
      <c r="G427">
        <v>10.007999999999999</v>
      </c>
      <c r="H427" t="s">
        <v>368</v>
      </c>
      <c r="I427" t="s">
        <v>762</v>
      </c>
      <c r="J427">
        <v>180786</v>
      </c>
      <c r="K427" t="s">
        <v>763</v>
      </c>
      <c r="L427" t="s">
        <v>694</v>
      </c>
      <c r="M427" t="s">
        <v>351</v>
      </c>
    </row>
    <row r="428" spans="1:13" x14ac:dyDescent="0.25">
      <c r="A428" t="s">
        <v>468</v>
      </c>
      <c r="B428"/>
      <c r="C428" t="s">
        <v>349</v>
      </c>
      <c r="D428"/>
      <c r="E428"/>
      <c r="F428" t="s">
        <v>514</v>
      </c>
      <c r="G428">
        <v>300</v>
      </c>
      <c r="H428" t="s">
        <v>993</v>
      </c>
      <c r="I428" t="s">
        <v>652</v>
      </c>
      <c r="J428">
        <v>180884</v>
      </c>
      <c r="K428" t="s">
        <v>995</v>
      </c>
      <c r="L428" t="s">
        <v>996</v>
      </c>
      <c r="M428" t="s">
        <v>351</v>
      </c>
    </row>
    <row r="429" spans="1:13" x14ac:dyDescent="0.25">
      <c r="A429" t="s">
        <v>432</v>
      </c>
      <c r="B429"/>
      <c r="C429" t="s">
        <v>349</v>
      </c>
      <c r="D429"/>
      <c r="E429"/>
      <c r="F429"/>
      <c r="G429">
        <v>35</v>
      </c>
      <c r="H429" t="s">
        <v>361</v>
      </c>
      <c r="I429" t="s">
        <v>796</v>
      </c>
      <c r="J429">
        <v>180886</v>
      </c>
      <c r="K429" t="s">
        <v>899</v>
      </c>
      <c r="L429" t="s">
        <v>798</v>
      </c>
      <c r="M429" t="s">
        <v>351</v>
      </c>
    </row>
    <row r="430" spans="1:13" x14ac:dyDescent="0.25">
      <c r="A430" t="s">
        <v>408</v>
      </c>
      <c r="B430"/>
      <c r="C430" t="s">
        <v>349</v>
      </c>
      <c r="D430"/>
      <c r="E430"/>
      <c r="F430" t="s">
        <v>500</v>
      </c>
      <c r="G430">
        <v>37</v>
      </c>
      <c r="H430" t="s">
        <v>367</v>
      </c>
      <c r="I430" t="s">
        <v>796</v>
      </c>
      <c r="J430">
        <v>180886</v>
      </c>
      <c r="K430" t="s">
        <v>899</v>
      </c>
      <c r="L430" t="s">
        <v>798</v>
      </c>
      <c r="M430" t="s">
        <v>351</v>
      </c>
    </row>
    <row r="431" spans="1:13" x14ac:dyDescent="0.25">
      <c r="A431" t="s">
        <v>542</v>
      </c>
      <c r="B431"/>
      <c r="C431" t="s">
        <v>349</v>
      </c>
      <c r="D431"/>
      <c r="E431"/>
      <c r="F431" t="s">
        <v>433</v>
      </c>
      <c r="G431">
        <v>0.99199999999999999</v>
      </c>
      <c r="H431" t="s">
        <v>364</v>
      </c>
      <c r="I431" t="s">
        <v>362</v>
      </c>
      <c r="J431">
        <v>180982</v>
      </c>
      <c r="K431" t="s">
        <v>764</v>
      </c>
      <c r="L431" t="s">
        <v>765</v>
      </c>
      <c r="M431" t="s">
        <v>351</v>
      </c>
    </row>
    <row r="432" spans="1:13" x14ac:dyDescent="0.25">
      <c r="A432" t="s">
        <v>558</v>
      </c>
      <c r="B432"/>
      <c r="C432" t="s">
        <v>349</v>
      </c>
      <c r="D432"/>
      <c r="E432"/>
      <c r="F432"/>
      <c r="G432">
        <v>5.0039999999999996</v>
      </c>
      <c r="H432" t="s">
        <v>356</v>
      </c>
      <c r="I432" t="s">
        <v>695</v>
      </c>
      <c r="J432">
        <v>180982</v>
      </c>
      <c r="K432" t="s">
        <v>764</v>
      </c>
      <c r="L432" t="s">
        <v>765</v>
      </c>
      <c r="M432" t="s">
        <v>351</v>
      </c>
    </row>
    <row r="433" spans="1:13" x14ac:dyDescent="0.25">
      <c r="A433" t="s">
        <v>371</v>
      </c>
      <c r="B433" t="s">
        <v>492</v>
      </c>
      <c r="C433" t="s">
        <v>349</v>
      </c>
      <c r="D433"/>
      <c r="E433"/>
      <c r="F433" t="s">
        <v>377</v>
      </c>
      <c r="G433">
        <v>5.0039999999999996</v>
      </c>
      <c r="H433" t="s">
        <v>364</v>
      </c>
      <c r="I433" t="s">
        <v>362</v>
      </c>
      <c r="J433">
        <v>180982</v>
      </c>
      <c r="K433" t="s">
        <v>764</v>
      </c>
      <c r="L433" t="s">
        <v>765</v>
      </c>
      <c r="M433" t="s">
        <v>351</v>
      </c>
    </row>
    <row r="434" spans="1:13" x14ac:dyDescent="0.25">
      <c r="A434" t="s">
        <v>371</v>
      </c>
      <c r="B434" t="s">
        <v>492</v>
      </c>
      <c r="C434" t="s">
        <v>349</v>
      </c>
      <c r="D434"/>
      <c r="E434"/>
      <c r="F434" t="s">
        <v>377</v>
      </c>
      <c r="G434">
        <v>5.0039999999999996</v>
      </c>
      <c r="H434" t="s">
        <v>364</v>
      </c>
      <c r="I434" t="s">
        <v>695</v>
      </c>
      <c r="J434">
        <v>180982</v>
      </c>
      <c r="K434" t="s">
        <v>764</v>
      </c>
      <c r="L434" t="s">
        <v>765</v>
      </c>
      <c r="M434" t="s">
        <v>351</v>
      </c>
    </row>
    <row r="435" spans="1:13" x14ac:dyDescent="0.25">
      <c r="A435" t="s">
        <v>782</v>
      </c>
      <c r="B435" t="s">
        <v>841</v>
      </c>
      <c r="C435" t="s">
        <v>349</v>
      </c>
      <c r="D435"/>
      <c r="E435"/>
      <c r="F435"/>
      <c r="G435">
        <v>5.0039999999999996</v>
      </c>
      <c r="H435" t="s">
        <v>364</v>
      </c>
      <c r="I435" t="s">
        <v>362</v>
      </c>
      <c r="J435">
        <v>180982</v>
      </c>
      <c r="K435" t="s">
        <v>764</v>
      </c>
      <c r="L435" t="s">
        <v>765</v>
      </c>
      <c r="M435" t="s">
        <v>351</v>
      </c>
    </row>
    <row r="436" spans="1:13" x14ac:dyDescent="0.25">
      <c r="A436" t="s">
        <v>539</v>
      </c>
      <c r="B436" t="s">
        <v>842</v>
      </c>
      <c r="C436" t="s">
        <v>349</v>
      </c>
      <c r="D436"/>
      <c r="E436"/>
      <c r="F436"/>
      <c r="G436">
        <v>5.0039999999999996</v>
      </c>
      <c r="H436" t="s">
        <v>368</v>
      </c>
      <c r="I436" t="s">
        <v>695</v>
      </c>
      <c r="J436">
        <v>180982</v>
      </c>
      <c r="K436" t="s">
        <v>764</v>
      </c>
      <c r="L436" t="s">
        <v>765</v>
      </c>
      <c r="M436" t="s">
        <v>351</v>
      </c>
    </row>
    <row r="437" spans="1:13" x14ac:dyDescent="0.25">
      <c r="A437" t="s">
        <v>539</v>
      </c>
      <c r="B437" t="s">
        <v>566</v>
      </c>
      <c r="C437" t="s">
        <v>349</v>
      </c>
      <c r="D437"/>
      <c r="E437"/>
      <c r="F437"/>
      <c r="G437">
        <v>5.0039999999999996</v>
      </c>
      <c r="H437" t="s">
        <v>364</v>
      </c>
      <c r="I437" t="s">
        <v>695</v>
      </c>
      <c r="J437">
        <v>180982</v>
      </c>
      <c r="K437" t="s">
        <v>764</v>
      </c>
      <c r="L437" t="s">
        <v>765</v>
      </c>
      <c r="M437" t="s">
        <v>351</v>
      </c>
    </row>
    <row r="438" spans="1:13" x14ac:dyDescent="0.25">
      <c r="A438" t="s">
        <v>560</v>
      </c>
      <c r="B438"/>
      <c r="C438" t="s">
        <v>349</v>
      </c>
      <c r="D438"/>
      <c r="E438"/>
      <c r="F438"/>
      <c r="G438">
        <v>5.0039999999999996</v>
      </c>
      <c r="H438" t="s">
        <v>356</v>
      </c>
      <c r="I438" t="s">
        <v>695</v>
      </c>
      <c r="J438">
        <v>180982</v>
      </c>
      <c r="K438" t="s">
        <v>764</v>
      </c>
      <c r="L438" t="s">
        <v>765</v>
      </c>
      <c r="M438" t="s">
        <v>351</v>
      </c>
    </row>
    <row r="439" spans="1:13" x14ac:dyDescent="0.25">
      <c r="A439" t="s">
        <v>560</v>
      </c>
      <c r="B439"/>
      <c r="C439" t="s">
        <v>349</v>
      </c>
      <c r="D439"/>
      <c r="E439"/>
      <c r="F439"/>
      <c r="G439">
        <v>5.0039999999999996</v>
      </c>
      <c r="H439" t="s">
        <v>364</v>
      </c>
      <c r="I439" t="s">
        <v>695</v>
      </c>
      <c r="J439">
        <v>180982</v>
      </c>
      <c r="K439" t="s">
        <v>764</v>
      </c>
      <c r="L439" t="s">
        <v>765</v>
      </c>
      <c r="M439" t="s">
        <v>351</v>
      </c>
    </row>
    <row r="440" spans="1:13" x14ac:dyDescent="0.25">
      <c r="A440" t="s">
        <v>495</v>
      </c>
      <c r="B440" t="s">
        <v>496</v>
      </c>
      <c r="C440" t="s">
        <v>349</v>
      </c>
      <c r="D440"/>
      <c r="E440"/>
      <c r="F440"/>
      <c r="G440">
        <v>5.0039999999999996</v>
      </c>
      <c r="H440" t="s">
        <v>356</v>
      </c>
      <c r="I440" t="s">
        <v>695</v>
      </c>
      <c r="J440">
        <v>180982</v>
      </c>
      <c r="K440" t="s">
        <v>764</v>
      </c>
      <c r="L440" t="s">
        <v>765</v>
      </c>
      <c r="M440" t="s">
        <v>351</v>
      </c>
    </row>
    <row r="441" spans="1:13" x14ac:dyDescent="0.25">
      <c r="A441" t="s">
        <v>497</v>
      </c>
      <c r="B441"/>
      <c r="C441" t="s">
        <v>349</v>
      </c>
      <c r="D441"/>
      <c r="E441"/>
      <c r="F441" t="s">
        <v>374</v>
      </c>
      <c r="G441">
        <v>5.0039999999999996</v>
      </c>
      <c r="H441" t="s">
        <v>367</v>
      </c>
      <c r="I441" t="s">
        <v>362</v>
      </c>
      <c r="J441">
        <v>180982</v>
      </c>
      <c r="K441" t="s">
        <v>764</v>
      </c>
      <c r="L441" t="s">
        <v>765</v>
      </c>
      <c r="M441" t="s">
        <v>351</v>
      </c>
    </row>
    <row r="442" spans="1:13" x14ac:dyDescent="0.25">
      <c r="A442" t="s">
        <v>366</v>
      </c>
      <c r="B442"/>
      <c r="C442"/>
      <c r="D442"/>
      <c r="E442"/>
      <c r="F442"/>
      <c r="G442">
        <v>5.0039999999999996</v>
      </c>
      <c r="H442" t="s">
        <v>364</v>
      </c>
      <c r="I442" t="s">
        <v>695</v>
      </c>
      <c r="J442">
        <v>180982</v>
      </c>
      <c r="K442" t="s">
        <v>764</v>
      </c>
      <c r="L442" t="s">
        <v>765</v>
      </c>
      <c r="M442" t="s">
        <v>351</v>
      </c>
    </row>
    <row r="443" spans="1:13" x14ac:dyDescent="0.25">
      <c r="A443" t="s">
        <v>432</v>
      </c>
      <c r="B443"/>
      <c r="C443"/>
      <c r="D443"/>
      <c r="E443"/>
      <c r="F443"/>
      <c r="G443">
        <v>44.003</v>
      </c>
      <c r="H443" t="s">
        <v>538</v>
      </c>
      <c r="I443" t="s">
        <v>695</v>
      </c>
      <c r="J443">
        <v>180982</v>
      </c>
      <c r="K443" t="s">
        <v>764</v>
      </c>
      <c r="L443" t="s">
        <v>765</v>
      </c>
      <c r="M443" t="s">
        <v>351</v>
      </c>
    </row>
    <row r="444" spans="1:13" x14ac:dyDescent="0.25">
      <c r="A444" t="s">
        <v>432</v>
      </c>
      <c r="B444"/>
      <c r="C444"/>
      <c r="D444"/>
      <c r="E444"/>
      <c r="F444"/>
      <c r="G444">
        <v>50</v>
      </c>
      <c r="H444" t="s">
        <v>637</v>
      </c>
      <c r="I444" t="s">
        <v>695</v>
      </c>
      <c r="J444">
        <v>180982</v>
      </c>
      <c r="K444" t="s">
        <v>764</v>
      </c>
      <c r="L444" t="s">
        <v>765</v>
      </c>
      <c r="M444" t="s">
        <v>351</v>
      </c>
    </row>
    <row r="445" spans="1:13" x14ac:dyDescent="0.25">
      <c r="A445" t="s">
        <v>432</v>
      </c>
      <c r="B445"/>
      <c r="C445"/>
      <c r="D445"/>
      <c r="E445"/>
      <c r="F445"/>
      <c r="G445">
        <v>39.991</v>
      </c>
      <c r="H445" t="s">
        <v>370</v>
      </c>
      <c r="I445" t="s">
        <v>695</v>
      </c>
      <c r="J445">
        <v>180982</v>
      </c>
      <c r="K445" t="s">
        <v>764</v>
      </c>
      <c r="L445" t="s">
        <v>765</v>
      </c>
      <c r="M445" t="s">
        <v>351</v>
      </c>
    </row>
    <row r="446" spans="1:13" x14ac:dyDescent="0.25">
      <c r="A446" t="s">
        <v>360</v>
      </c>
      <c r="B446"/>
      <c r="C446"/>
      <c r="D446"/>
      <c r="E446"/>
      <c r="F446"/>
      <c r="G446">
        <v>5.0039999999999996</v>
      </c>
      <c r="H446" t="s">
        <v>364</v>
      </c>
      <c r="I446" t="s">
        <v>362</v>
      </c>
      <c r="J446">
        <v>180982</v>
      </c>
      <c r="K446" t="s">
        <v>764</v>
      </c>
      <c r="L446" t="s">
        <v>765</v>
      </c>
      <c r="M446" t="s">
        <v>351</v>
      </c>
    </row>
    <row r="447" spans="1:13" x14ac:dyDescent="0.25">
      <c r="A447" t="s">
        <v>360</v>
      </c>
      <c r="B447"/>
      <c r="C447"/>
      <c r="D447"/>
      <c r="E447"/>
      <c r="F447"/>
      <c r="G447">
        <v>5.0039999999999996</v>
      </c>
      <c r="H447" t="s">
        <v>364</v>
      </c>
      <c r="I447" t="s">
        <v>362</v>
      </c>
      <c r="J447">
        <v>180982</v>
      </c>
      <c r="K447" t="s">
        <v>764</v>
      </c>
      <c r="L447" t="s">
        <v>765</v>
      </c>
      <c r="M447" t="s">
        <v>351</v>
      </c>
    </row>
    <row r="448" spans="1:13" x14ac:dyDescent="0.25">
      <c r="A448" t="s">
        <v>363</v>
      </c>
      <c r="B448" t="s">
        <v>392</v>
      </c>
      <c r="C448"/>
      <c r="D448"/>
      <c r="E448"/>
      <c r="F448"/>
      <c r="G448">
        <v>5.0039999999999996</v>
      </c>
      <c r="H448" t="s">
        <v>361</v>
      </c>
      <c r="I448" t="s">
        <v>695</v>
      </c>
      <c r="J448">
        <v>180982</v>
      </c>
      <c r="K448" t="s">
        <v>764</v>
      </c>
      <c r="L448" t="s">
        <v>765</v>
      </c>
      <c r="M448" t="s">
        <v>351</v>
      </c>
    </row>
    <row r="449" spans="1:13" x14ac:dyDescent="0.25">
      <c r="A449" t="s">
        <v>540</v>
      </c>
      <c r="B449"/>
      <c r="C449" t="s">
        <v>349</v>
      </c>
      <c r="D449"/>
      <c r="E449"/>
      <c r="F449"/>
      <c r="G449">
        <v>10.007999999999999</v>
      </c>
      <c r="H449" t="s">
        <v>367</v>
      </c>
      <c r="I449" t="s">
        <v>362</v>
      </c>
      <c r="J449">
        <v>180982</v>
      </c>
      <c r="K449" t="s">
        <v>764</v>
      </c>
      <c r="L449" t="s">
        <v>765</v>
      </c>
      <c r="M449" t="s">
        <v>351</v>
      </c>
    </row>
    <row r="450" spans="1:13" x14ac:dyDescent="0.25">
      <c r="A450" t="s">
        <v>444</v>
      </c>
      <c r="B450"/>
      <c r="C450" t="s">
        <v>349</v>
      </c>
      <c r="D450"/>
      <c r="E450"/>
      <c r="F450" t="s">
        <v>500</v>
      </c>
      <c r="G450">
        <v>10.007999999999999</v>
      </c>
      <c r="H450" t="s">
        <v>364</v>
      </c>
      <c r="I450" t="s">
        <v>695</v>
      </c>
      <c r="J450">
        <v>180982</v>
      </c>
      <c r="K450" t="s">
        <v>764</v>
      </c>
      <c r="L450" t="s">
        <v>765</v>
      </c>
      <c r="M450" t="s">
        <v>351</v>
      </c>
    </row>
    <row r="451" spans="1:13" x14ac:dyDescent="0.25">
      <c r="A451" t="s">
        <v>444</v>
      </c>
      <c r="B451"/>
      <c r="C451" t="s">
        <v>349</v>
      </c>
      <c r="D451"/>
      <c r="E451"/>
      <c r="F451" t="s">
        <v>500</v>
      </c>
      <c r="G451">
        <v>10.007999999999999</v>
      </c>
      <c r="H451" t="s">
        <v>364</v>
      </c>
      <c r="I451" t="s">
        <v>695</v>
      </c>
      <c r="J451">
        <v>180982</v>
      </c>
      <c r="K451" t="s">
        <v>764</v>
      </c>
      <c r="L451" t="s">
        <v>765</v>
      </c>
      <c r="M451" t="s">
        <v>351</v>
      </c>
    </row>
    <row r="452" spans="1:13" x14ac:dyDescent="0.25">
      <c r="A452" t="s">
        <v>363</v>
      </c>
      <c r="B452" t="s">
        <v>392</v>
      </c>
      <c r="C452"/>
      <c r="D452"/>
      <c r="E452"/>
      <c r="F452"/>
      <c r="G452">
        <v>5.0039999999999996</v>
      </c>
      <c r="H452" t="s">
        <v>367</v>
      </c>
      <c r="I452" t="s">
        <v>695</v>
      </c>
      <c r="J452">
        <v>180982</v>
      </c>
      <c r="K452" t="s">
        <v>764</v>
      </c>
      <c r="L452" t="s">
        <v>765</v>
      </c>
      <c r="M452" t="s">
        <v>351</v>
      </c>
    </row>
    <row r="453" spans="1:13" x14ac:dyDescent="0.25">
      <c r="A453" t="s">
        <v>397</v>
      </c>
      <c r="B453"/>
      <c r="C453" t="s">
        <v>349</v>
      </c>
      <c r="D453"/>
      <c r="E453"/>
      <c r="F453" t="s">
        <v>499</v>
      </c>
      <c r="G453">
        <v>10.007999999999999</v>
      </c>
      <c r="H453" t="s">
        <v>368</v>
      </c>
      <c r="I453" t="s">
        <v>695</v>
      </c>
      <c r="J453">
        <v>180982</v>
      </c>
      <c r="K453" t="s">
        <v>764</v>
      </c>
      <c r="L453" t="s">
        <v>765</v>
      </c>
      <c r="M453" t="s">
        <v>351</v>
      </c>
    </row>
    <row r="454" spans="1:13" x14ac:dyDescent="0.25">
      <c r="A454" t="s">
        <v>495</v>
      </c>
      <c r="B454" t="s">
        <v>496</v>
      </c>
      <c r="C454" t="s">
        <v>349</v>
      </c>
      <c r="D454"/>
      <c r="E454"/>
      <c r="F454"/>
      <c r="G454">
        <v>10.007999999999999</v>
      </c>
      <c r="H454" t="s">
        <v>393</v>
      </c>
      <c r="I454" t="s">
        <v>695</v>
      </c>
      <c r="J454">
        <v>180982</v>
      </c>
      <c r="K454" t="s">
        <v>764</v>
      </c>
      <c r="L454" t="s">
        <v>765</v>
      </c>
      <c r="M454" t="s">
        <v>351</v>
      </c>
    </row>
    <row r="455" spans="1:13" x14ac:dyDescent="0.25">
      <c r="A455" t="s">
        <v>363</v>
      </c>
      <c r="B455" t="s">
        <v>392</v>
      </c>
      <c r="C455"/>
      <c r="D455"/>
      <c r="E455"/>
      <c r="F455"/>
      <c r="G455">
        <v>5.0039999999999996</v>
      </c>
      <c r="H455" t="s">
        <v>367</v>
      </c>
      <c r="I455" t="s">
        <v>695</v>
      </c>
      <c r="J455">
        <v>180982</v>
      </c>
      <c r="K455" t="s">
        <v>764</v>
      </c>
      <c r="L455" t="s">
        <v>765</v>
      </c>
      <c r="M455" t="s">
        <v>351</v>
      </c>
    </row>
    <row r="456" spans="1:13" x14ac:dyDescent="0.25">
      <c r="A456" t="s">
        <v>396</v>
      </c>
      <c r="B456"/>
      <c r="C456"/>
      <c r="D456"/>
      <c r="E456"/>
      <c r="F456"/>
      <c r="G456">
        <v>10.007999999999999</v>
      </c>
      <c r="H456" t="s">
        <v>367</v>
      </c>
      <c r="I456" t="s">
        <v>695</v>
      </c>
      <c r="J456">
        <v>180982</v>
      </c>
      <c r="K456" t="s">
        <v>764</v>
      </c>
      <c r="L456" t="s">
        <v>765</v>
      </c>
      <c r="M456" t="s">
        <v>351</v>
      </c>
    </row>
    <row r="457" spans="1:13" x14ac:dyDescent="0.25">
      <c r="A457" t="s">
        <v>462</v>
      </c>
      <c r="B457" t="s">
        <v>574</v>
      </c>
      <c r="C457" t="s">
        <v>349</v>
      </c>
      <c r="D457"/>
      <c r="E457"/>
      <c r="F457"/>
      <c r="G457">
        <v>11.993</v>
      </c>
      <c r="H457" t="s">
        <v>356</v>
      </c>
      <c r="I457" t="s">
        <v>695</v>
      </c>
      <c r="J457">
        <v>180982</v>
      </c>
      <c r="K457" t="s">
        <v>764</v>
      </c>
      <c r="L457" t="s">
        <v>765</v>
      </c>
      <c r="M457" t="s">
        <v>351</v>
      </c>
    </row>
    <row r="458" spans="1:13" x14ac:dyDescent="0.25">
      <c r="A458" t="s">
        <v>490</v>
      </c>
      <c r="B458"/>
      <c r="C458" t="s">
        <v>349</v>
      </c>
      <c r="D458"/>
      <c r="E458"/>
      <c r="F458" t="s">
        <v>380</v>
      </c>
      <c r="G458">
        <v>14.991</v>
      </c>
      <c r="H458" t="s">
        <v>367</v>
      </c>
      <c r="I458" t="s">
        <v>695</v>
      </c>
      <c r="J458">
        <v>180982</v>
      </c>
      <c r="K458" t="s">
        <v>764</v>
      </c>
      <c r="L458" t="s">
        <v>765</v>
      </c>
      <c r="M458" t="s">
        <v>351</v>
      </c>
    </row>
    <row r="459" spans="1:13" x14ac:dyDescent="0.25">
      <c r="A459" t="s">
        <v>490</v>
      </c>
      <c r="B459"/>
      <c r="C459" t="s">
        <v>349</v>
      </c>
      <c r="D459"/>
      <c r="E459"/>
      <c r="F459" t="s">
        <v>380</v>
      </c>
      <c r="G459">
        <v>14.991</v>
      </c>
      <c r="H459" t="s">
        <v>404</v>
      </c>
      <c r="I459" t="s">
        <v>695</v>
      </c>
      <c r="J459">
        <v>180982</v>
      </c>
      <c r="K459" t="s">
        <v>764</v>
      </c>
      <c r="L459" t="s">
        <v>765</v>
      </c>
      <c r="M459" t="s">
        <v>351</v>
      </c>
    </row>
    <row r="460" spans="1:13" x14ac:dyDescent="0.25">
      <c r="A460" t="s">
        <v>560</v>
      </c>
      <c r="B460"/>
      <c r="C460" t="s">
        <v>349</v>
      </c>
      <c r="D460"/>
      <c r="E460"/>
      <c r="F460"/>
      <c r="G460">
        <v>14.991</v>
      </c>
      <c r="H460" t="s">
        <v>393</v>
      </c>
      <c r="I460" t="s">
        <v>362</v>
      </c>
      <c r="J460">
        <v>180982</v>
      </c>
      <c r="K460" t="s">
        <v>764</v>
      </c>
      <c r="L460" t="s">
        <v>765</v>
      </c>
      <c r="M460" t="s">
        <v>351</v>
      </c>
    </row>
    <row r="461" spans="1:13" x14ac:dyDescent="0.25">
      <c r="A461" t="s">
        <v>371</v>
      </c>
      <c r="B461" t="s">
        <v>492</v>
      </c>
      <c r="C461" t="s">
        <v>349</v>
      </c>
      <c r="D461"/>
      <c r="E461"/>
      <c r="F461" t="s">
        <v>377</v>
      </c>
      <c r="G461">
        <v>17.989000000000001</v>
      </c>
      <c r="H461" t="s">
        <v>367</v>
      </c>
      <c r="I461" t="s">
        <v>695</v>
      </c>
      <c r="J461">
        <v>180982</v>
      </c>
      <c r="K461" t="s">
        <v>764</v>
      </c>
      <c r="L461" t="s">
        <v>765</v>
      </c>
      <c r="M461" t="s">
        <v>351</v>
      </c>
    </row>
    <row r="462" spans="1:13" x14ac:dyDescent="0.25">
      <c r="A462" t="s">
        <v>396</v>
      </c>
      <c r="B462"/>
      <c r="C462"/>
      <c r="D462"/>
      <c r="E462"/>
      <c r="F462"/>
      <c r="G462">
        <v>14.991</v>
      </c>
      <c r="H462" t="s">
        <v>356</v>
      </c>
      <c r="I462" t="s">
        <v>891</v>
      </c>
      <c r="J462">
        <v>180982</v>
      </c>
      <c r="K462" t="s">
        <v>764</v>
      </c>
      <c r="L462" t="s">
        <v>765</v>
      </c>
      <c r="M462" t="s">
        <v>351</v>
      </c>
    </row>
    <row r="463" spans="1:13" x14ac:dyDescent="0.25">
      <c r="A463" t="s">
        <v>396</v>
      </c>
      <c r="B463"/>
      <c r="C463"/>
      <c r="D463"/>
      <c r="E463"/>
      <c r="F463"/>
      <c r="G463">
        <v>10.007999999999999</v>
      </c>
      <c r="H463" t="s">
        <v>367</v>
      </c>
      <c r="I463" t="s">
        <v>695</v>
      </c>
      <c r="J463">
        <v>180982</v>
      </c>
      <c r="K463" t="s">
        <v>764</v>
      </c>
      <c r="L463" t="s">
        <v>765</v>
      </c>
      <c r="M463" t="s">
        <v>351</v>
      </c>
    </row>
    <row r="464" spans="1:13" x14ac:dyDescent="0.25">
      <c r="A464" t="s">
        <v>396</v>
      </c>
      <c r="B464"/>
      <c r="C464"/>
      <c r="D464"/>
      <c r="E464"/>
      <c r="F464"/>
      <c r="G464">
        <v>10.007999999999999</v>
      </c>
      <c r="H464" t="s">
        <v>367</v>
      </c>
      <c r="I464" t="s">
        <v>695</v>
      </c>
      <c r="J464">
        <v>180982</v>
      </c>
      <c r="K464" t="s">
        <v>764</v>
      </c>
      <c r="L464" t="s">
        <v>765</v>
      </c>
      <c r="M464" t="s">
        <v>351</v>
      </c>
    </row>
    <row r="465" spans="1:13" x14ac:dyDescent="0.25">
      <c r="A465" t="s">
        <v>353</v>
      </c>
      <c r="B465"/>
      <c r="C465"/>
      <c r="D465"/>
      <c r="E465"/>
      <c r="F465"/>
      <c r="G465">
        <v>10.007999999999999</v>
      </c>
      <c r="H465" t="s">
        <v>368</v>
      </c>
      <c r="I465" t="s">
        <v>362</v>
      </c>
      <c r="J465">
        <v>180982</v>
      </c>
      <c r="K465" t="s">
        <v>764</v>
      </c>
      <c r="L465" t="s">
        <v>765</v>
      </c>
      <c r="M465" t="s">
        <v>351</v>
      </c>
    </row>
    <row r="466" spans="1:13" x14ac:dyDescent="0.25">
      <c r="A466" t="s">
        <v>587</v>
      </c>
      <c r="B466"/>
      <c r="C466" t="s">
        <v>349</v>
      </c>
      <c r="D466"/>
      <c r="E466"/>
      <c r="F466" t="s">
        <v>588</v>
      </c>
      <c r="G466">
        <v>39.991</v>
      </c>
      <c r="H466" t="s">
        <v>368</v>
      </c>
      <c r="I466" t="s">
        <v>902</v>
      </c>
      <c r="J466">
        <v>180982</v>
      </c>
      <c r="K466" t="s">
        <v>764</v>
      </c>
      <c r="L466" t="s">
        <v>765</v>
      </c>
      <c r="M466" t="s">
        <v>351</v>
      </c>
    </row>
    <row r="467" spans="1:13" x14ac:dyDescent="0.25">
      <c r="A467" t="s">
        <v>552</v>
      </c>
      <c r="B467"/>
      <c r="C467" t="s">
        <v>349</v>
      </c>
      <c r="D467"/>
      <c r="E467"/>
      <c r="F467" t="s">
        <v>374</v>
      </c>
      <c r="G467">
        <v>0.99199999999999999</v>
      </c>
      <c r="H467" t="s">
        <v>356</v>
      </c>
      <c r="I467" t="s">
        <v>362</v>
      </c>
      <c r="J467">
        <v>180984</v>
      </c>
      <c r="K467" t="s">
        <v>489</v>
      </c>
      <c r="L467" t="s">
        <v>759</v>
      </c>
      <c r="M467" t="s">
        <v>351</v>
      </c>
    </row>
    <row r="468" spans="1:13" x14ac:dyDescent="0.25">
      <c r="A468" t="s">
        <v>552</v>
      </c>
      <c r="B468"/>
      <c r="C468" t="s">
        <v>349</v>
      </c>
      <c r="D468"/>
      <c r="E468"/>
      <c r="F468" t="s">
        <v>374</v>
      </c>
      <c r="G468">
        <v>0.99199999999999999</v>
      </c>
      <c r="H468" t="s">
        <v>356</v>
      </c>
      <c r="I468" t="s">
        <v>362</v>
      </c>
      <c r="J468">
        <v>180984</v>
      </c>
      <c r="K468" t="s">
        <v>489</v>
      </c>
      <c r="L468" t="s">
        <v>759</v>
      </c>
      <c r="M468" t="s">
        <v>351</v>
      </c>
    </row>
    <row r="469" spans="1:13" x14ac:dyDescent="0.25">
      <c r="A469" t="s">
        <v>544</v>
      </c>
      <c r="B469"/>
      <c r="C469" t="s">
        <v>349</v>
      </c>
      <c r="D469"/>
      <c r="E469" t="s">
        <v>340</v>
      </c>
      <c r="F469" t="s">
        <v>499</v>
      </c>
      <c r="G469">
        <v>0.99199999999999999</v>
      </c>
      <c r="H469" t="s">
        <v>356</v>
      </c>
      <c r="I469" t="s">
        <v>362</v>
      </c>
      <c r="J469">
        <v>180984</v>
      </c>
      <c r="K469" t="s">
        <v>489</v>
      </c>
      <c r="L469" t="s">
        <v>759</v>
      </c>
      <c r="M469" t="s">
        <v>351</v>
      </c>
    </row>
    <row r="470" spans="1:13" x14ac:dyDescent="0.25">
      <c r="A470" t="s">
        <v>542</v>
      </c>
      <c r="B470"/>
      <c r="C470" t="s">
        <v>349</v>
      </c>
      <c r="D470"/>
      <c r="E470"/>
      <c r="F470" t="s">
        <v>433</v>
      </c>
      <c r="G470">
        <v>0.99199999999999999</v>
      </c>
      <c r="H470" t="s">
        <v>364</v>
      </c>
      <c r="I470" t="s">
        <v>362</v>
      </c>
      <c r="J470">
        <v>180984</v>
      </c>
      <c r="K470" t="s">
        <v>489</v>
      </c>
      <c r="L470" t="s">
        <v>759</v>
      </c>
      <c r="M470" t="s">
        <v>351</v>
      </c>
    </row>
    <row r="471" spans="1:13" x14ac:dyDescent="0.25">
      <c r="A471" t="s">
        <v>542</v>
      </c>
      <c r="B471"/>
      <c r="C471" t="s">
        <v>349</v>
      </c>
      <c r="D471"/>
      <c r="E471"/>
      <c r="F471" t="s">
        <v>433</v>
      </c>
      <c r="G471">
        <v>0.99199999999999999</v>
      </c>
      <c r="H471" t="s">
        <v>364</v>
      </c>
      <c r="I471" t="s">
        <v>362</v>
      </c>
      <c r="J471">
        <v>180984</v>
      </c>
      <c r="K471" t="s">
        <v>489</v>
      </c>
      <c r="L471" t="s">
        <v>759</v>
      </c>
      <c r="M471" t="s">
        <v>351</v>
      </c>
    </row>
    <row r="472" spans="1:13" x14ac:dyDescent="0.25">
      <c r="A472" t="s">
        <v>397</v>
      </c>
      <c r="B472"/>
      <c r="C472" t="s">
        <v>349</v>
      </c>
      <c r="D472"/>
      <c r="E472"/>
      <c r="F472" t="s">
        <v>499</v>
      </c>
      <c r="G472">
        <v>2.0059999999999998</v>
      </c>
      <c r="H472" t="s">
        <v>364</v>
      </c>
      <c r="I472" t="s">
        <v>362</v>
      </c>
      <c r="J472">
        <v>180984</v>
      </c>
      <c r="K472" t="s">
        <v>489</v>
      </c>
      <c r="L472" t="s">
        <v>759</v>
      </c>
      <c r="M472" t="s">
        <v>351</v>
      </c>
    </row>
    <row r="473" spans="1:13" x14ac:dyDescent="0.25">
      <c r="A473" t="s">
        <v>371</v>
      </c>
      <c r="B473" t="s">
        <v>596</v>
      </c>
      <c r="C473" t="s">
        <v>349</v>
      </c>
      <c r="D473"/>
      <c r="E473"/>
      <c r="F473" t="s">
        <v>597</v>
      </c>
      <c r="G473">
        <v>2.9980000000000002</v>
      </c>
      <c r="H473" t="s">
        <v>356</v>
      </c>
      <c r="I473" t="s">
        <v>362</v>
      </c>
      <c r="J473">
        <v>180984</v>
      </c>
      <c r="K473" t="s">
        <v>489</v>
      </c>
      <c r="L473" t="s">
        <v>759</v>
      </c>
      <c r="M473" t="s">
        <v>351</v>
      </c>
    </row>
    <row r="474" spans="1:13" x14ac:dyDescent="0.25">
      <c r="A474" t="s">
        <v>815</v>
      </c>
      <c r="B474" t="s">
        <v>816</v>
      </c>
      <c r="C474" t="s">
        <v>349</v>
      </c>
      <c r="D474"/>
      <c r="E474"/>
      <c r="F474"/>
      <c r="G474">
        <v>2.9980000000000002</v>
      </c>
      <c r="H474" t="s">
        <v>509</v>
      </c>
      <c r="I474" t="s">
        <v>362</v>
      </c>
      <c r="J474">
        <v>180984</v>
      </c>
      <c r="K474" t="s">
        <v>489</v>
      </c>
      <c r="L474" t="s">
        <v>759</v>
      </c>
      <c r="M474" t="s">
        <v>351</v>
      </c>
    </row>
    <row r="475" spans="1:13" x14ac:dyDescent="0.25">
      <c r="A475" t="s">
        <v>490</v>
      </c>
      <c r="B475"/>
      <c r="C475" t="s">
        <v>349</v>
      </c>
      <c r="D475"/>
      <c r="E475"/>
      <c r="F475" t="s">
        <v>380</v>
      </c>
      <c r="G475">
        <v>5.0039999999999996</v>
      </c>
      <c r="H475" t="s">
        <v>364</v>
      </c>
      <c r="I475" t="s">
        <v>362</v>
      </c>
      <c r="J475">
        <v>180984</v>
      </c>
      <c r="K475" t="s">
        <v>489</v>
      </c>
      <c r="L475" t="s">
        <v>759</v>
      </c>
      <c r="M475" t="s">
        <v>351</v>
      </c>
    </row>
    <row r="476" spans="1:13" x14ac:dyDescent="0.25">
      <c r="A476" t="s">
        <v>558</v>
      </c>
      <c r="B476"/>
      <c r="C476" t="s">
        <v>349</v>
      </c>
      <c r="D476"/>
      <c r="E476"/>
      <c r="F476"/>
      <c r="G476">
        <v>5.0039999999999996</v>
      </c>
      <c r="H476" t="s">
        <v>356</v>
      </c>
      <c r="I476" t="s">
        <v>362</v>
      </c>
      <c r="J476">
        <v>180984</v>
      </c>
      <c r="K476" t="s">
        <v>489</v>
      </c>
      <c r="L476" t="s">
        <v>759</v>
      </c>
      <c r="M476" t="s">
        <v>351</v>
      </c>
    </row>
    <row r="477" spans="1:13" x14ac:dyDescent="0.25">
      <c r="A477" t="s">
        <v>371</v>
      </c>
      <c r="B477" t="s">
        <v>492</v>
      </c>
      <c r="C477" t="s">
        <v>349</v>
      </c>
      <c r="D477"/>
      <c r="E477"/>
      <c r="F477" t="s">
        <v>377</v>
      </c>
      <c r="G477">
        <v>5.0039999999999996</v>
      </c>
      <c r="H477" t="s">
        <v>364</v>
      </c>
      <c r="I477" t="s">
        <v>362</v>
      </c>
      <c r="J477">
        <v>180984</v>
      </c>
      <c r="K477" t="s">
        <v>489</v>
      </c>
      <c r="L477" t="s">
        <v>759</v>
      </c>
      <c r="M477" t="s">
        <v>351</v>
      </c>
    </row>
    <row r="478" spans="1:13" x14ac:dyDescent="0.25">
      <c r="A478" t="s">
        <v>371</v>
      </c>
      <c r="B478" t="s">
        <v>492</v>
      </c>
      <c r="C478" t="s">
        <v>349</v>
      </c>
      <c r="D478"/>
      <c r="E478"/>
      <c r="F478" t="s">
        <v>377</v>
      </c>
      <c r="G478">
        <v>5.0039999999999996</v>
      </c>
      <c r="H478" t="s">
        <v>364</v>
      </c>
      <c r="I478" t="s">
        <v>362</v>
      </c>
      <c r="J478">
        <v>180984</v>
      </c>
      <c r="K478" t="s">
        <v>489</v>
      </c>
      <c r="L478" t="s">
        <v>759</v>
      </c>
      <c r="M478" t="s">
        <v>351</v>
      </c>
    </row>
    <row r="479" spans="1:13" x14ac:dyDescent="0.25">
      <c r="A479" t="s">
        <v>371</v>
      </c>
      <c r="B479" t="s">
        <v>492</v>
      </c>
      <c r="C479" t="s">
        <v>349</v>
      </c>
      <c r="D479"/>
      <c r="E479"/>
      <c r="F479" t="s">
        <v>377</v>
      </c>
      <c r="G479">
        <v>5.0039999999999996</v>
      </c>
      <c r="H479" t="s">
        <v>364</v>
      </c>
      <c r="I479" t="s">
        <v>362</v>
      </c>
      <c r="J479">
        <v>180984</v>
      </c>
      <c r="K479" t="s">
        <v>489</v>
      </c>
      <c r="L479" t="s">
        <v>759</v>
      </c>
      <c r="M479" t="s">
        <v>351</v>
      </c>
    </row>
    <row r="480" spans="1:13" x14ac:dyDescent="0.25">
      <c r="A480" t="s">
        <v>371</v>
      </c>
      <c r="B480" t="s">
        <v>492</v>
      </c>
      <c r="C480" t="s">
        <v>349</v>
      </c>
      <c r="D480"/>
      <c r="E480"/>
      <c r="F480" t="s">
        <v>377</v>
      </c>
      <c r="G480">
        <v>5.0039999999999996</v>
      </c>
      <c r="H480" t="s">
        <v>364</v>
      </c>
      <c r="I480" t="s">
        <v>362</v>
      </c>
      <c r="J480">
        <v>180984</v>
      </c>
      <c r="K480" t="s">
        <v>489</v>
      </c>
      <c r="L480" t="s">
        <v>759</v>
      </c>
      <c r="M480" t="s">
        <v>351</v>
      </c>
    </row>
    <row r="481" spans="1:13" x14ac:dyDescent="0.25">
      <c r="A481" t="s">
        <v>366</v>
      </c>
      <c r="B481"/>
      <c r="C481"/>
      <c r="D481"/>
      <c r="E481"/>
      <c r="F481"/>
      <c r="G481">
        <v>5.0039999999999996</v>
      </c>
      <c r="H481" t="s">
        <v>364</v>
      </c>
      <c r="I481" t="s">
        <v>362</v>
      </c>
      <c r="J481">
        <v>180984</v>
      </c>
      <c r="K481" t="s">
        <v>489</v>
      </c>
      <c r="L481" t="s">
        <v>759</v>
      </c>
      <c r="M481" t="s">
        <v>351</v>
      </c>
    </row>
    <row r="482" spans="1:13" x14ac:dyDescent="0.25">
      <c r="A482" t="s">
        <v>355</v>
      </c>
      <c r="B482"/>
      <c r="C482"/>
      <c r="D482"/>
      <c r="E482"/>
      <c r="F482"/>
      <c r="G482">
        <v>5.0039999999999996</v>
      </c>
      <c r="H482" t="s">
        <v>356</v>
      </c>
      <c r="I482" t="s">
        <v>362</v>
      </c>
      <c r="J482">
        <v>180984</v>
      </c>
      <c r="K482" t="s">
        <v>489</v>
      </c>
      <c r="L482" t="s">
        <v>759</v>
      </c>
      <c r="M482" t="s">
        <v>351</v>
      </c>
    </row>
    <row r="483" spans="1:13" x14ac:dyDescent="0.25">
      <c r="A483" t="s">
        <v>378</v>
      </c>
      <c r="B483"/>
      <c r="C483"/>
      <c r="D483"/>
      <c r="E483"/>
      <c r="F483"/>
      <c r="G483">
        <v>2.0059999999999998</v>
      </c>
      <c r="H483" t="s">
        <v>364</v>
      </c>
      <c r="I483" t="s">
        <v>362</v>
      </c>
      <c r="J483">
        <v>180984</v>
      </c>
      <c r="K483" t="s">
        <v>489</v>
      </c>
      <c r="L483" t="s">
        <v>759</v>
      </c>
      <c r="M483" t="s">
        <v>351</v>
      </c>
    </row>
    <row r="484" spans="1:13" x14ac:dyDescent="0.25">
      <c r="A484" t="s">
        <v>399</v>
      </c>
      <c r="B484"/>
      <c r="C484"/>
      <c r="D484"/>
      <c r="E484"/>
      <c r="F484"/>
      <c r="G484">
        <v>3.99</v>
      </c>
      <c r="H484" t="s">
        <v>393</v>
      </c>
      <c r="I484" t="s">
        <v>362</v>
      </c>
      <c r="J484">
        <v>180984</v>
      </c>
      <c r="K484" t="s">
        <v>489</v>
      </c>
      <c r="L484" t="s">
        <v>759</v>
      </c>
      <c r="M484" t="s">
        <v>351</v>
      </c>
    </row>
    <row r="485" spans="1:13" x14ac:dyDescent="0.25">
      <c r="A485" t="s">
        <v>399</v>
      </c>
      <c r="B485"/>
      <c r="C485"/>
      <c r="D485"/>
      <c r="E485"/>
      <c r="F485"/>
      <c r="G485">
        <v>3.99</v>
      </c>
      <c r="H485" t="s">
        <v>393</v>
      </c>
      <c r="I485" t="s">
        <v>362</v>
      </c>
      <c r="J485">
        <v>180984</v>
      </c>
      <c r="K485" t="s">
        <v>489</v>
      </c>
      <c r="L485" t="s">
        <v>759</v>
      </c>
      <c r="M485" t="s">
        <v>351</v>
      </c>
    </row>
    <row r="486" spans="1:13" x14ac:dyDescent="0.25">
      <c r="A486" t="s">
        <v>539</v>
      </c>
      <c r="B486" t="s">
        <v>566</v>
      </c>
      <c r="C486" t="s">
        <v>349</v>
      </c>
      <c r="D486"/>
      <c r="E486"/>
      <c r="F486"/>
      <c r="G486">
        <v>5.0039999999999996</v>
      </c>
      <c r="H486" t="s">
        <v>364</v>
      </c>
      <c r="I486" t="s">
        <v>362</v>
      </c>
      <c r="J486">
        <v>180984</v>
      </c>
      <c r="K486" t="s">
        <v>489</v>
      </c>
      <c r="L486" t="s">
        <v>759</v>
      </c>
      <c r="M486" t="s">
        <v>351</v>
      </c>
    </row>
    <row r="487" spans="1:13" x14ac:dyDescent="0.25">
      <c r="A487" t="s">
        <v>539</v>
      </c>
      <c r="B487" t="s">
        <v>566</v>
      </c>
      <c r="C487" t="s">
        <v>349</v>
      </c>
      <c r="D487"/>
      <c r="E487"/>
      <c r="F487"/>
      <c r="G487">
        <v>5.0039999999999996</v>
      </c>
      <c r="H487" t="s">
        <v>364</v>
      </c>
      <c r="I487" t="s">
        <v>362</v>
      </c>
      <c r="J487">
        <v>180984</v>
      </c>
      <c r="K487" t="s">
        <v>489</v>
      </c>
      <c r="L487" t="s">
        <v>759</v>
      </c>
      <c r="M487" t="s">
        <v>351</v>
      </c>
    </row>
    <row r="488" spans="1:13" x14ac:dyDescent="0.25">
      <c r="A488" t="s">
        <v>539</v>
      </c>
      <c r="B488" t="s">
        <v>566</v>
      </c>
      <c r="C488" t="s">
        <v>349</v>
      </c>
      <c r="D488"/>
      <c r="E488"/>
      <c r="F488"/>
      <c r="G488">
        <v>5.0039999999999996</v>
      </c>
      <c r="H488" t="s">
        <v>364</v>
      </c>
      <c r="I488" t="s">
        <v>362</v>
      </c>
      <c r="J488">
        <v>180984</v>
      </c>
      <c r="K488" t="s">
        <v>489</v>
      </c>
      <c r="L488" t="s">
        <v>759</v>
      </c>
      <c r="M488" t="s">
        <v>351</v>
      </c>
    </row>
    <row r="489" spans="1:13" x14ac:dyDescent="0.25">
      <c r="A489" t="s">
        <v>560</v>
      </c>
      <c r="B489"/>
      <c r="C489" t="s">
        <v>349</v>
      </c>
      <c r="D489"/>
      <c r="E489"/>
      <c r="F489"/>
      <c r="G489">
        <v>5.0039999999999996</v>
      </c>
      <c r="H489" t="s">
        <v>364</v>
      </c>
      <c r="I489" t="s">
        <v>362</v>
      </c>
      <c r="J489">
        <v>180984</v>
      </c>
      <c r="K489" t="s">
        <v>489</v>
      </c>
      <c r="L489" t="s">
        <v>759</v>
      </c>
      <c r="M489" t="s">
        <v>351</v>
      </c>
    </row>
    <row r="490" spans="1:13" x14ac:dyDescent="0.25">
      <c r="A490" t="s">
        <v>560</v>
      </c>
      <c r="B490"/>
      <c r="C490" t="s">
        <v>349</v>
      </c>
      <c r="D490"/>
      <c r="E490"/>
      <c r="F490"/>
      <c r="G490">
        <v>5.0039999999999996</v>
      </c>
      <c r="H490" t="s">
        <v>364</v>
      </c>
      <c r="I490" t="s">
        <v>362</v>
      </c>
      <c r="J490">
        <v>180984</v>
      </c>
      <c r="K490" t="s">
        <v>489</v>
      </c>
      <c r="L490" t="s">
        <v>759</v>
      </c>
      <c r="M490" t="s">
        <v>351</v>
      </c>
    </row>
    <row r="491" spans="1:13" x14ac:dyDescent="0.25">
      <c r="A491" t="s">
        <v>560</v>
      </c>
      <c r="B491"/>
      <c r="C491" t="s">
        <v>349</v>
      </c>
      <c r="D491"/>
      <c r="E491"/>
      <c r="F491"/>
      <c r="G491">
        <v>5.0039999999999996</v>
      </c>
      <c r="H491" t="s">
        <v>364</v>
      </c>
      <c r="I491" t="s">
        <v>362</v>
      </c>
      <c r="J491">
        <v>180984</v>
      </c>
      <c r="K491" t="s">
        <v>489</v>
      </c>
      <c r="L491" t="s">
        <v>759</v>
      </c>
      <c r="M491" t="s">
        <v>351</v>
      </c>
    </row>
    <row r="492" spans="1:13" x14ac:dyDescent="0.25">
      <c r="A492" t="s">
        <v>435</v>
      </c>
      <c r="B492" t="s">
        <v>843</v>
      </c>
      <c r="C492" t="s">
        <v>349</v>
      </c>
      <c r="D492"/>
      <c r="E492"/>
      <c r="F492"/>
      <c r="G492">
        <v>5.0039999999999996</v>
      </c>
      <c r="H492" t="s">
        <v>393</v>
      </c>
      <c r="I492" t="s">
        <v>362</v>
      </c>
      <c r="J492">
        <v>180984</v>
      </c>
      <c r="K492" t="s">
        <v>489</v>
      </c>
      <c r="L492" t="s">
        <v>759</v>
      </c>
      <c r="M492" t="s">
        <v>351</v>
      </c>
    </row>
    <row r="493" spans="1:13" x14ac:dyDescent="0.25">
      <c r="A493" t="s">
        <v>495</v>
      </c>
      <c r="B493" t="s">
        <v>496</v>
      </c>
      <c r="C493" t="s">
        <v>349</v>
      </c>
      <c r="D493"/>
      <c r="E493"/>
      <c r="F493"/>
      <c r="G493">
        <v>5.0039999999999996</v>
      </c>
      <c r="H493" t="s">
        <v>356</v>
      </c>
      <c r="I493" t="s">
        <v>362</v>
      </c>
      <c r="J493">
        <v>180984</v>
      </c>
      <c r="K493" t="s">
        <v>489</v>
      </c>
      <c r="L493" t="s">
        <v>759</v>
      </c>
      <c r="M493" t="s">
        <v>351</v>
      </c>
    </row>
    <row r="494" spans="1:13" x14ac:dyDescent="0.25">
      <c r="A494" t="s">
        <v>497</v>
      </c>
      <c r="B494"/>
      <c r="C494" t="s">
        <v>349</v>
      </c>
      <c r="D494"/>
      <c r="E494"/>
      <c r="F494" t="s">
        <v>374</v>
      </c>
      <c r="G494">
        <v>5.0039999999999996</v>
      </c>
      <c r="H494" t="s">
        <v>367</v>
      </c>
      <c r="I494" t="s">
        <v>362</v>
      </c>
      <c r="J494">
        <v>180984</v>
      </c>
      <c r="K494" t="s">
        <v>489</v>
      </c>
      <c r="L494" t="s">
        <v>759</v>
      </c>
      <c r="M494" t="s">
        <v>351</v>
      </c>
    </row>
    <row r="495" spans="1:13" x14ac:dyDescent="0.25">
      <c r="A495" t="s">
        <v>399</v>
      </c>
      <c r="B495"/>
      <c r="C495"/>
      <c r="D495"/>
      <c r="E495"/>
      <c r="F495"/>
      <c r="G495">
        <v>3.99</v>
      </c>
      <c r="H495" t="s">
        <v>393</v>
      </c>
      <c r="I495" t="s">
        <v>362</v>
      </c>
      <c r="J495">
        <v>180984</v>
      </c>
      <c r="K495" t="s">
        <v>489</v>
      </c>
      <c r="L495" t="s">
        <v>759</v>
      </c>
      <c r="M495" t="s">
        <v>351</v>
      </c>
    </row>
    <row r="496" spans="1:13" x14ac:dyDescent="0.25">
      <c r="A496" t="s">
        <v>432</v>
      </c>
      <c r="B496"/>
      <c r="C496"/>
      <c r="D496"/>
      <c r="E496"/>
      <c r="F496"/>
      <c r="G496">
        <v>39.991</v>
      </c>
      <c r="H496" t="s">
        <v>370</v>
      </c>
      <c r="I496" t="s">
        <v>695</v>
      </c>
      <c r="J496">
        <v>180984</v>
      </c>
      <c r="K496" t="s">
        <v>489</v>
      </c>
      <c r="L496" t="s">
        <v>759</v>
      </c>
      <c r="M496" t="s">
        <v>351</v>
      </c>
    </row>
    <row r="497" spans="1:13" x14ac:dyDescent="0.25">
      <c r="A497" t="s">
        <v>432</v>
      </c>
      <c r="B497"/>
      <c r="C497"/>
      <c r="D497"/>
      <c r="E497"/>
      <c r="F497"/>
      <c r="G497">
        <v>50</v>
      </c>
      <c r="H497" t="s">
        <v>401</v>
      </c>
      <c r="I497" t="s">
        <v>695</v>
      </c>
      <c r="J497">
        <v>180984</v>
      </c>
      <c r="K497" t="s">
        <v>489</v>
      </c>
      <c r="L497" t="s">
        <v>759</v>
      </c>
      <c r="M497" t="s">
        <v>351</v>
      </c>
    </row>
    <row r="498" spans="1:13" x14ac:dyDescent="0.25">
      <c r="A498" t="s">
        <v>432</v>
      </c>
      <c r="B498"/>
      <c r="C498"/>
      <c r="D498"/>
      <c r="E498"/>
      <c r="F498"/>
      <c r="G498">
        <v>50</v>
      </c>
      <c r="H498" t="s">
        <v>637</v>
      </c>
      <c r="I498" t="s">
        <v>849</v>
      </c>
      <c r="J498">
        <v>180984</v>
      </c>
      <c r="K498" t="s">
        <v>489</v>
      </c>
      <c r="L498" t="s">
        <v>759</v>
      </c>
      <c r="M498" t="s">
        <v>351</v>
      </c>
    </row>
    <row r="499" spans="1:13" x14ac:dyDescent="0.25">
      <c r="A499" t="s">
        <v>432</v>
      </c>
      <c r="B499"/>
      <c r="C499"/>
      <c r="D499"/>
      <c r="E499"/>
      <c r="F499"/>
      <c r="G499">
        <v>39.991</v>
      </c>
      <c r="H499" t="s">
        <v>850</v>
      </c>
      <c r="I499" t="s">
        <v>695</v>
      </c>
      <c r="J499">
        <v>180984</v>
      </c>
      <c r="K499" t="s">
        <v>489</v>
      </c>
      <c r="L499" t="s">
        <v>759</v>
      </c>
      <c r="M499" t="s">
        <v>351</v>
      </c>
    </row>
    <row r="500" spans="1:13" x14ac:dyDescent="0.25">
      <c r="A500" t="s">
        <v>360</v>
      </c>
      <c r="B500"/>
      <c r="C500"/>
      <c r="D500"/>
      <c r="E500"/>
      <c r="F500"/>
      <c r="G500">
        <v>5.0039999999999996</v>
      </c>
      <c r="H500" t="s">
        <v>364</v>
      </c>
      <c r="I500" t="s">
        <v>362</v>
      </c>
      <c r="J500">
        <v>180984</v>
      </c>
      <c r="K500" t="s">
        <v>489</v>
      </c>
      <c r="L500" t="s">
        <v>759</v>
      </c>
      <c r="M500" t="s">
        <v>351</v>
      </c>
    </row>
    <row r="501" spans="1:13" x14ac:dyDescent="0.25">
      <c r="A501" t="s">
        <v>363</v>
      </c>
      <c r="B501" t="s">
        <v>392</v>
      </c>
      <c r="C501"/>
      <c r="D501"/>
      <c r="E501"/>
      <c r="F501"/>
      <c r="G501">
        <v>5.0039999999999996</v>
      </c>
      <c r="H501" t="s">
        <v>367</v>
      </c>
      <c r="I501" t="s">
        <v>362</v>
      </c>
      <c r="J501">
        <v>180984</v>
      </c>
      <c r="K501" t="s">
        <v>489</v>
      </c>
      <c r="L501" t="s">
        <v>759</v>
      </c>
      <c r="M501" t="s">
        <v>351</v>
      </c>
    </row>
    <row r="502" spans="1:13" x14ac:dyDescent="0.25">
      <c r="A502" t="s">
        <v>363</v>
      </c>
      <c r="B502" t="s">
        <v>392</v>
      </c>
      <c r="C502"/>
      <c r="D502"/>
      <c r="E502"/>
      <c r="F502"/>
      <c r="G502">
        <v>5.0039999999999996</v>
      </c>
      <c r="H502" t="s">
        <v>367</v>
      </c>
      <c r="I502" t="s">
        <v>362</v>
      </c>
      <c r="J502">
        <v>180984</v>
      </c>
      <c r="K502" t="s">
        <v>489</v>
      </c>
      <c r="L502" t="s">
        <v>759</v>
      </c>
      <c r="M502" t="s">
        <v>351</v>
      </c>
    </row>
    <row r="503" spans="1:13" x14ac:dyDescent="0.25">
      <c r="A503" t="s">
        <v>363</v>
      </c>
      <c r="B503" t="s">
        <v>392</v>
      </c>
      <c r="C503"/>
      <c r="D503"/>
      <c r="E503"/>
      <c r="F503"/>
      <c r="G503">
        <v>5.0039999999999996</v>
      </c>
      <c r="H503" t="s">
        <v>367</v>
      </c>
      <c r="I503" t="s">
        <v>362</v>
      </c>
      <c r="J503">
        <v>180984</v>
      </c>
      <c r="K503" t="s">
        <v>489</v>
      </c>
      <c r="L503" t="s">
        <v>759</v>
      </c>
      <c r="M503" t="s">
        <v>351</v>
      </c>
    </row>
    <row r="504" spans="1:13" x14ac:dyDescent="0.25">
      <c r="A504" t="s">
        <v>396</v>
      </c>
      <c r="B504"/>
      <c r="C504"/>
      <c r="D504"/>
      <c r="E504"/>
      <c r="F504"/>
      <c r="G504">
        <v>10.007999999999999</v>
      </c>
      <c r="H504" t="s">
        <v>367</v>
      </c>
      <c r="I504" t="s">
        <v>362</v>
      </c>
      <c r="J504">
        <v>180984</v>
      </c>
      <c r="K504" t="s">
        <v>489</v>
      </c>
      <c r="L504" t="s">
        <v>759</v>
      </c>
      <c r="M504" t="s">
        <v>351</v>
      </c>
    </row>
    <row r="505" spans="1:13" x14ac:dyDescent="0.25">
      <c r="A505" t="s">
        <v>396</v>
      </c>
      <c r="B505"/>
      <c r="C505"/>
      <c r="D505"/>
      <c r="E505"/>
      <c r="F505"/>
      <c r="G505">
        <v>10.007999999999999</v>
      </c>
      <c r="H505" t="s">
        <v>367</v>
      </c>
      <c r="I505" t="s">
        <v>362</v>
      </c>
      <c r="J505">
        <v>180984</v>
      </c>
      <c r="K505" t="s">
        <v>489</v>
      </c>
      <c r="L505" t="s">
        <v>759</v>
      </c>
      <c r="M505" t="s">
        <v>351</v>
      </c>
    </row>
    <row r="506" spans="1:13" x14ac:dyDescent="0.25">
      <c r="A506" t="s">
        <v>353</v>
      </c>
      <c r="B506"/>
      <c r="C506"/>
      <c r="D506"/>
      <c r="E506"/>
      <c r="F506"/>
      <c r="G506">
        <v>10.007999999999999</v>
      </c>
      <c r="H506" t="s">
        <v>368</v>
      </c>
      <c r="I506" t="s">
        <v>362</v>
      </c>
      <c r="J506">
        <v>180984</v>
      </c>
      <c r="K506" t="s">
        <v>489</v>
      </c>
      <c r="L506" t="s">
        <v>759</v>
      </c>
      <c r="M506" t="s">
        <v>351</v>
      </c>
    </row>
    <row r="507" spans="1:13" x14ac:dyDescent="0.25">
      <c r="A507" t="s">
        <v>353</v>
      </c>
      <c r="B507"/>
      <c r="C507"/>
      <c r="D507"/>
      <c r="E507"/>
      <c r="F507"/>
      <c r="G507">
        <v>10.007999999999999</v>
      </c>
      <c r="H507" t="s">
        <v>368</v>
      </c>
      <c r="I507" t="s">
        <v>362</v>
      </c>
      <c r="J507">
        <v>180984</v>
      </c>
      <c r="K507" t="s">
        <v>489</v>
      </c>
      <c r="L507" t="s">
        <v>759</v>
      </c>
      <c r="M507" t="s">
        <v>351</v>
      </c>
    </row>
    <row r="508" spans="1:13" x14ac:dyDescent="0.25">
      <c r="A508" t="s">
        <v>353</v>
      </c>
      <c r="B508"/>
      <c r="C508"/>
      <c r="D508"/>
      <c r="E508"/>
      <c r="F508"/>
      <c r="G508">
        <v>0.99199999999999999</v>
      </c>
      <c r="H508" t="s">
        <v>364</v>
      </c>
      <c r="I508" t="s">
        <v>362</v>
      </c>
      <c r="J508">
        <v>180984</v>
      </c>
      <c r="K508" t="s">
        <v>489</v>
      </c>
      <c r="L508" t="s">
        <v>759</v>
      </c>
      <c r="M508" t="s">
        <v>351</v>
      </c>
    </row>
    <row r="509" spans="1:13" x14ac:dyDescent="0.25">
      <c r="A509" t="s">
        <v>554</v>
      </c>
      <c r="B509"/>
      <c r="C509" t="s">
        <v>349</v>
      </c>
      <c r="D509"/>
      <c r="E509"/>
      <c r="F509" t="s">
        <v>421</v>
      </c>
      <c r="G509">
        <v>8.0020000000000007</v>
      </c>
      <c r="H509" t="s">
        <v>356</v>
      </c>
      <c r="I509" t="s">
        <v>362</v>
      </c>
      <c r="J509">
        <v>180984</v>
      </c>
      <c r="K509" t="s">
        <v>489</v>
      </c>
      <c r="L509" t="s">
        <v>759</v>
      </c>
      <c r="M509" t="s">
        <v>351</v>
      </c>
    </row>
    <row r="510" spans="1:13" x14ac:dyDescent="0.25">
      <c r="A510" t="s">
        <v>385</v>
      </c>
      <c r="B510" t="s">
        <v>559</v>
      </c>
      <c r="C510" t="s">
        <v>349</v>
      </c>
      <c r="D510"/>
      <c r="E510"/>
      <c r="F510"/>
      <c r="G510">
        <v>8.0020000000000007</v>
      </c>
      <c r="H510" t="s">
        <v>364</v>
      </c>
      <c r="I510" t="s">
        <v>362</v>
      </c>
      <c r="J510">
        <v>180984</v>
      </c>
      <c r="K510" t="s">
        <v>489</v>
      </c>
      <c r="L510" t="s">
        <v>759</v>
      </c>
      <c r="M510" t="s">
        <v>351</v>
      </c>
    </row>
    <row r="511" spans="1:13" x14ac:dyDescent="0.25">
      <c r="A511" t="s">
        <v>540</v>
      </c>
      <c r="B511"/>
      <c r="C511" t="s">
        <v>349</v>
      </c>
      <c r="D511"/>
      <c r="E511"/>
      <c r="F511"/>
      <c r="G511">
        <v>10.007999999999999</v>
      </c>
      <c r="H511" t="s">
        <v>367</v>
      </c>
      <c r="I511" t="s">
        <v>362</v>
      </c>
      <c r="J511">
        <v>180984</v>
      </c>
      <c r="K511" t="s">
        <v>489</v>
      </c>
      <c r="L511" t="s">
        <v>759</v>
      </c>
      <c r="M511" t="s">
        <v>351</v>
      </c>
    </row>
    <row r="512" spans="1:13" x14ac:dyDescent="0.25">
      <c r="A512" t="s">
        <v>397</v>
      </c>
      <c r="B512"/>
      <c r="C512" t="s">
        <v>349</v>
      </c>
      <c r="D512"/>
      <c r="E512"/>
      <c r="F512" t="s">
        <v>499</v>
      </c>
      <c r="G512">
        <v>10.007999999999999</v>
      </c>
      <c r="H512" t="s">
        <v>368</v>
      </c>
      <c r="I512" t="s">
        <v>362</v>
      </c>
      <c r="J512">
        <v>180984</v>
      </c>
      <c r="K512" t="s">
        <v>489</v>
      </c>
      <c r="L512" t="s">
        <v>759</v>
      </c>
      <c r="M512" t="s">
        <v>351</v>
      </c>
    </row>
    <row r="513" spans="1:13" x14ac:dyDescent="0.25">
      <c r="A513" t="s">
        <v>397</v>
      </c>
      <c r="B513"/>
      <c r="C513" t="s">
        <v>349</v>
      </c>
      <c r="D513"/>
      <c r="E513"/>
      <c r="F513" t="s">
        <v>499</v>
      </c>
      <c r="G513">
        <v>10.007999999999999</v>
      </c>
      <c r="H513" t="s">
        <v>368</v>
      </c>
      <c r="I513" t="s">
        <v>362</v>
      </c>
      <c r="J513">
        <v>180984</v>
      </c>
      <c r="K513" t="s">
        <v>489</v>
      </c>
      <c r="L513" t="s">
        <v>759</v>
      </c>
      <c r="M513" t="s">
        <v>351</v>
      </c>
    </row>
    <row r="514" spans="1:13" x14ac:dyDescent="0.25">
      <c r="A514" t="s">
        <v>495</v>
      </c>
      <c r="B514" t="s">
        <v>496</v>
      </c>
      <c r="C514" t="s">
        <v>349</v>
      </c>
      <c r="D514"/>
      <c r="E514"/>
      <c r="F514"/>
      <c r="G514">
        <v>10.007999999999999</v>
      </c>
      <c r="H514" t="s">
        <v>393</v>
      </c>
      <c r="I514" t="s">
        <v>362</v>
      </c>
      <c r="J514">
        <v>180984</v>
      </c>
      <c r="K514" t="s">
        <v>489</v>
      </c>
      <c r="L514" t="s">
        <v>759</v>
      </c>
      <c r="M514" t="s">
        <v>351</v>
      </c>
    </row>
    <row r="515" spans="1:13" x14ac:dyDescent="0.25">
      <c r="A515" t="s">
        <v>520</v>
      </c>
      <c r="B515"/>
      <c r="C515" t="s">
        <v>349</v>
      </c>
      <c r="D515"/>
      <c r="E515"/>
      <c r="F515" t="s">
        <v>459</v>
      </c>
      <c r="G515">
        <v>10.007999999999999</v>
      </c>
      <c r="H515" t="s">
        <v>364</v>
      </c>
      <c r="I515" t="s">
        <v>362</v>
      </c>
      <c r="J515">
        <v>180984</v>
      </c>
      <c r="K515" t="s">
        <v>489</v>
      </c>
      <c r="L515" t="s">
        <v>759</v>
      </c>
      <c r="M515" t="s">
        <v>351</v>
      </c>
    </row>
    <row r="516" spans="1:13" x14ac:dyDescent="0.25">
      <c r="A516" t="s">
        <v>490</v>
      </c>
      <c r="B516"/>
      <c r="C516" t="s">
        <v>349</v>
      </c>
      <c r="D516"/>
      <c r="E516"/>
      <c r="F516" t="s">
        <v>380</v>
      </c>
      <c r="G516">
        <v>14.991</v>
      </c>
      <c r="H516" t="s">
        <v>404</v>
      </c>
      <c r="I516" t="s">
        <v>362</v>
      </c>
      <c r="J516">
        <v>180984</v>
      </c>
      <c r="K516" t="s">
        <v>489</v>
      </c>
      <c r="L516" t="s">
        <v>759</v>
      </c>
      <c r="M516" t="s">
        <v>351</v>
      </c>
    </row>
    <row r="517" spans="1:13" x14ac:dyDescent="0.25">
      <c r="A517" t="s">
        <v>490</v>
      </c>
      <c r="B517"/>
      <c r="C517" t="s">
        <v>349</v>
      </c>
      <c r="D517"/>
      <c r="E517"/>
      <c r="F517" t="s">
        <v>380</v>
      </c>
      <c r="G517">
        <v>14.991</v>
      </c>
      <c r="H517" t="s">
        <v>393</v>
      </c>
      <c r="I517" t="s">
        <v>362</v>
      </c>
      <c r="J517">
        <v>180984</v>
      </c>
      <c r="K517" t="s">
        <v>489</v>
      </c>
      <c r="L517" t="s">
        <v>759</v>
      </c>
      <c r="M517" t="s">
        <v>351</v>
      </c>
    </row>
    <row r="518" spans="1:13" x14ac:dyDescent="0.25">
      <c r="A518" t="s">
        <v>490</v>
      </c>
      <c r="B518"/>
      <c r="C518" t="s">
        <v>349</v>
      </c>
      <c r="D518"/>
      <c r="E518"/>
      <c r="F518" t="s">
        <v>380</v>
      </c>
      <c r="G518">
        <v>14.991</v>
      </c>
      <c r="H518" t="s">
        <v>393</v>
      </c>
      <c r="I518" t="s">
        <v>362</v>
      </c>
      <c r="J518">
        <v>180984</v>
      </c>
      <c r="K518" t="s">
        <v>489</v>
      </c>
      <c r="L518" t="s">
        <v>759</v>
      </c>
      <c r="M518" t="s">
        <v>351</v>
      </c>
    </row>
    <row r="519" spans="1:13" x14ac:dyDescent="0.25">
      <c r="A519" t="s">
        <v>542</v>
      </c>
      <c r="B519"/>
      <c r="C519" t="s">
        <v>349</v>
      </c>
      <c r="D519"/>
      <c r="E519"/>
      <c r="F519" t="s">
        <v>433</v>
      </c>
      <c r="G519">
        <v>0.99199999999999999</v>
      </c>
      <c r="H519" t="s">
        <v>364</v>
      </c>
      <c r="I519" t="s">
        <v>770</v>
      </c>
      <c r="J519">
        <v>180986</v>
      </c>
      <c r="K519" t="s">
        <v>771</v>
      </c>
      <c r="L519" t="s">
        <v>772</v>
      </c>
      <c r="M519" t="s">
        <v>351</v>
      </c>
    </row>
    <row r="520" spans="1:13" x14ac:dyDescent="0.25">
      <c r="A520" t="s">
        <v>552</v>
      </c>
      <c r="B520"/>
      <c r="C520" t="s">
        <v>349</v>
      </c>
      <c r="D520"/>
      <c r="E520"/>
      <c r="F520" t="s">
        <v>374</v>
      </c>
      <c r="G520">
        <v>5.0039999999999996</v>
      </c>
      <c r="H520" t="s">
        <v>364</v>
      </c>
      <c r="I520" t="s">
        <v>770</v>
      </c>
      <c r="J520">
        <v>180986</v>
      </c>
      <c r="K520" t="s">
        <v>771</v>
      </c>
      <c r="L520" t="s">
        <v>772</v>
      </c>
      <c r="M520" t="s">
        <v>351</v>
      </c>
    </row>
    <row r="521" spans="1:13" x14ac:dyDescent="0.25">
      <c r="A521" t="s">
        <v>484</v>
      </c>
      <c r="B521"/>
      <c r="C521" t="s">
        <v>349</v>
      </c>
      <c r="D521"/>
      <c r="E521"/>
      <c r="F521" t="s">
        <v>448</v>
      </c>
      <c r="G521">
        <v>5.0039999999999996</v>
      </c>
      <c r="H521" t="s">
        <v>367</v>
      </c>
      <c r="I521" t="s">
        <v>770</v>
      </c>
      <c r="J521">
        <v>180986</v>
      </c>
      <c r="K521" t="s">
        <v>771</v>
      </c>
      <c r="L521" t="s">
        <v>772</v>
      </c>
      <c r="M521" t="s">
        <v>351</v>
      </c>
    </row>
    <row r="522" spans="1:13" x14ac:dyDescent="0.25">
      <c r="A522" t="s">
        <v>554</v>
      </c>
      <c r="B522"/>
      <c r="C522" t="s">
        <v>349</v>
      </c>
      <c r="D522"/>
      <c r="E522"/>
      <c r="F522" t="s">
        <v>421</v>
      </c>
      <c r="G522">
        <v>8.0020000000000007</v>
      </c>
      <c r="H522" t="s">
        <v>356</v>
      </c>
      <c r="I522" t="s">
        <v>770</v>
      </c>
      <c r="J522">
        <v>180986</v>
      </c>
      <c r="K522" t="s">
        <v>771</v>
      </c>
      <c r="L522" t="s">
        <v>772</v>
      </c>
      <c r="M522" t="s">
        <v>351</v>
      </c>
    </row>
    <row r="523" spans="1:13" x14ac:dyDescent="0.25">
      <c r="A523" t="s">
        <v>560</v>
      </c>
      <c r="B523"/>
      <c r="C523" t="s">
        <v>349</v>
      </c>
      <c r="D523"/>
      <c r="E523"/>
      <c r="F523"/>
      <c r="G523">
        <v>8.9939999999999998</v>
      </c>
      <c r="H523" t="s">
        <v>364</v>
      </c>
      <c r="I523" t="s">
        <v>770</v>
      </c>
      <c r="J523">
        <v>180986</v>
      </c>
      <c r="K523" t="s">
        <v>771</v>
      </c>
      <c r="L523" t="s">
        <v>772</v>
      </c>
      <c r="M523" t="s">
        <v>351</v>
      </c>
    </row>
    <row r="524" spans="1:13" x14ac:dyDescent="0.25">
      <c r="A524" t="s">
        <v>397</v>
      </c>
      <c r="B524"/>
      <c r="C524" t="s">
        <v>349</v>
      </c>
      <c r="D524"/>
      <c r="E524"/>
      <c r="F524" t="s">
        <v>499</v>
      </c>
      <c r="G524">
        <v>10.007999999999999</v>
      </c>
      <c r="H524" t="s">
        <v>367</v>
      </c>
      <c r="I524" t="s">
        <v>770</v>
      </c>
      <c r="J524">
        <v>180986</v>
      </c>
      <c r="K524" t="s">
        <v>771</v>
      </c>
      <c r="L524" t="s">
        <v>772</v>
      </c>
      <c r="M524" t="s">
        <v>351</v>
      </c>
    </row>
    <row r="525" spans="1:13" x14ac:dyDescent="0.25">
      <c r="A525" t="s">
        <v>495</v>
      </c>
      <c r="B525" t="s">
        <v>496</v>
      </c>
      <c r="C525" t="s">
        <v>349</v>
      </c>
      <c r="D525"/>
      <c r="E525"/>
      <c r="F525"/>
      <c r="G525">
        <v>10.007999999999999</v>
      </c>
      <c r="H525" t="s">
        <v>393</v>
      </c>
      <c r="I525" t="s">
        <v>770</v>
      </c>
      <c r="J525">
        <v>180986</v>
      </c>
      <c r="K525" t="s">
        <v>771</v>
      </c>
      <c r="L525" t="s">
        <v>772</v>
      </c>
      <c r="M525" t="s">
        <v>351</v>
      </c>
    </row>
    <row r="526" spans="1:13" x14ac:dyDescent="0.25">
      <c r="A526" t="s">
        <v>490</v>
      </c>
      <c r="B526"/>
      <c r="C526" t="s">
        <v>349</v>
      </c>
      <c r="D526"/>
      <c r="E526"/>
      <c r="F526" t="s">
        <v>380</v>
      </c>
      <c r="G526">
        <v>14.991</v>
      </c>
      <c r="H526" t="s">
        <v>364</v>
      </c>
      <c r="I526" t="s">
        <v>770</v>
      </c>
      <c r="J526">
        <v>180986</v>
      </c>
      <c r="K526" t="s">
        <v>771</v>
      </c>
      <c r="L526" t="s">
        <v>772</v>
      </c>
      <c r="M526" t="s">
        <v>351</v>
      </c>
    </row>
    <row r="527" spans="1:13" x14ac:dyDescent="0.25">
      <c r="A527" t="s">
        <v>371</v>
      </c>
      <c r="B527" t="s">
        <v>492</v>
      </c>
      <c r="C527" t="s">
        <v>349</v>
      </c>
      <c r="D527"/>
      <c r="E527"/>
      <c r="F527" t="s">
        <v>377</v>
      </c>
      <c r="G527">
        <v>17.989000000000001</v>
      </c>
      <c r="H527" t="s">
        <v>368</v>
      </c>
      <c r="I527" t="s">
        <v>770</v>
      </c>
      <c r="J527">
        <v>180986</v>
      </c>
      <c r="K527" t="s">
        <v>771</v>
      </c>
      <c r="L527" t="s">
        <v>772</v>
      </c>
      <c r="M527" t="s">
        <v>351</v>
      </c>
    </row>
    <row r="528" spans="1:13" x14ac:dyDescent="0.25">
      <c r="A528" t="s">
        <v>432</v>
      </c>
      <c r="B528"/>
      <c r="C528"/>
      <c r="D528"/>
      <c r="E528"/>
      <c r="F528"/>
      <c r="G528">
        <v>44.003</v>
      </c>
      <c r="H528" t="s">
        <v>628</v>
      </c>
      <c r="I528" t="s">
        <v>1034</v>
      </c>
      <c r="J528">
        <v>180986</v>
      </c>
      <c r="K528" t="s">
        <v>771</v>
      </c>
      <c r="L528" t="s">
        <v>772</v>
      </c>
      <c r="M528" t="s">
        <v>351</v>
      </c>
    </row>
    <row r="529" spans="1:13" x14ac:dyDescent="0.25">
      <c r="A529" t="s">
        <v>432</v>
      </c>
      <c r="B529"/>
      <c r="C529"/>
      <c r="D529"/>
      <c r="E529"/>
      <c r="F529"/>
      <c r="G529">
        <v>44.003</v>
      </c>
      <c r="H529" t="s">
        <v>598</v>
      </c>
      <c r="I529" t="s">
        <v>1034</v>
      </c>
      <c r="J529">
        <v>180986</v>
      </c>
      <c r="K529" t="s">
        <v>771</v>
      </c>
      <c r="L529" t="s">
        <v>772</v>
      </c>
      <c r="M529" t="s">
        <v>351</v>
      </c>
    </row>
    <row r="530" spans="1:13" x14ac:dyDescent="0.25">
      <c r="A530" t="s">
        <v>360</v>
      </c>
      <c r="B530"/>
      <c r="C530"/>
      <c r="D530"/>
      <c r="E530"/>
      <c r="F530"/>
      <c r="G530">
        <v>5.0039999999999996</v>
      </c>
      <c r="H530" t="s">
        <v>364</v>
      </c>
      <c r="I530" t="s">
        <v>770</v>
      </c>
      <c r="J530">
        <v>180986</v>
      </c>
      <c r="K530" t="s">
        <v>771</v>
      </c>
      <c r="L530" t="s">
        <v>772</v>
      </c>
      <c r="M530" t="s">
        <v>351</v>
      </c>
    </row>
    <row r="531" spans="1:13" x14ac:dyDescent="0.25">
      <c r="A531" t="s">
        <v>363</v>
      </c>
      <c r="B531" t="s">
        <v>392</v>
      </c>
      <c r="C531"/>
      <c r="D531"/>
      <c r="E531"/>
      <c r="F531"/>
      <c r="G531">
        <v>5.0039999999999996</v>
      </c>
      <c r="H531" t="s">
        <v>361</v>
      </c>
      <c r="I531" t="s">
        <v>770</v>
      </c>
      <c r="J531">
        <v>180986</v>
      </c>
      <c r="K531" t="s">
        <v>771</v>
      </c>
      <c r="L531" t="s">
        <v>772</v>
      </c>
      <c r="M531" t="s">
        <v>351</v>
      </c>
    </row>
    <row r="532" spans="1:13" x14ac:dyDescent="0.25">
      <c r="A532" t="s">
        <v>396</v>
      </c>
      <c r="B532"/>
      <c r="C532"/>
      <c r="D532"/>
      <c r="E532"/>
      <c r="F532"/>
      <c r="G532">
        <v>10.007999999999999</v>
      </c>
      <c r="H532" t="s">
        <v>367</v>
      </c>
      <c r="I532" t="s">
        <v>770</v>
      </c>
      <c r="J532">
        <v>180986</v>
      </c>
      <c r="K532" t="s">
        <v>771</v>
      </c>
      <c r="L532" t="s">
        <v>772</v>
      </c>
      <c r="M532" t="s">
        <v>351</v>
      </c>
    </row>
    <row r="533" spans="1:13" x14ac:dyDescent="0.25">
      <c r="A533" t="s">
        <v>353</v>
      </c>
      <c r="B533"/>
      <c r="C533"/>
      <c r="D533"/>
      <c r="E533"/>
      <c r="F533"/>
      <c r="G533">
        <v>10.007999999999999</v>
      </c>
      <c r="H533" t="s">
        <v>368</v>
      </c>
      <c r="I533" t="s">
        <v>770</v>
      </c>
      <c r="J533">
        <v>180986</v>
      </c>
      <c r="K533" t="s">
        <v>771</v>
      </c>
      <c r="L533" t="s">
        <v>772</v>
      </c>
      <c r="M533" t="s">
        <v>351</v>
      </c>
    </row>
    <row r="534" spans="1:13" x14ac:dyDescent="0.25">
      <c r="A534" t="s">
        <v>824</v>
      </c>
      <c r="B534"/>
      <c r="C534" t="s">
        <v>349</v>
      </c>
      <c r="D534"/>
      <c r="E534"/>
      <c r="F534"/>
      <c r="G534">
        <v>4</v>
      </c>
      <c r="H534" t="s">
        <v>356</v>
      </c>
      <c r="I534" t="s">
        <v>825</v>
      </c>
      <c r="J534">
        <v>181084</v>
      </c>
      <c r="K534" t="s">
        <v>826</v>
      </c>
      <c r="L534" t="s">
        <v>660</v>
      </c>
      <c r="M534" t="s">
        <v>351</v>
      </c>
    </row>
    <row r="535" spans="1:13" x14ac:dyDescent="0.25">
      <c r="A535" t="s">
        <v>802</v>
      </c>
      <c r="B535"/>
      <c r="C535" t="s">
        <v>349</v>
      </c>
      <c r="D535"/>
      <c r="E535"/>
      <c r="F535"/>
      <c r="G535">
        <v>5</v>
      </c>
      <c r="H535" t="s">
        <v>356</v>
      </c>
      <c r="I535" t="s">
        <v>825</v>
      </c>
      <c r="J535">
        <v>181084</v>
      </c>
      <c r="K535" t="s">
        <v>826</v>
      </c>
      <c r="L535" t="s">
        <v>660</v>
      </c>
      <c r="M535" t="s">
        <v>351</v>
      </c>
    </row>
    <row r="536" spans="1:13" x14ac:dyDescent="0.25">
      <c r="A536" t="s">
        <v>864</v>
      </c>
      <c r="B536"/>
      <c r="C536" t="s">
        <v>349</v>
      </c>
      <c r="D536"/>
      <c r="E536"/>
      <c r="F536"/>
      <c r="G536">
        <v>9</v>
      </c>
      <c r="H536" t="s">
        <v>364</v>
      </c>
      <c r="I536" t="s">
        <v>825</v>
      </c>
      <c r="J536">
        <v>181084</v>
      </c>
      <c r="K536" t="s">
        <v>826</v>
      </c>
      <c r="L536" t="s">
        <v>660</v>
      </c>
      <c r="M536" t="s">
        <v>351</v>
      </c>
    </row>
    <row r="537" spans="1:13" x14ac:dyDescent="0.25">
      <c r="A537" t="s">
        <v>970</v>
      </c>
      <c r="B537"/>
      <c r="C537" t="s">
        <v>349</v>
      </c>
      <c r="D537"/>
      <c r="E537"/>
      <c r="F537" t="s">
        <v>500</v>
      </c>
      <c r="G537">
        <v>97</v>
      </c>
      <c r="H537" t="s">
        <v>391</v>
      </c>
      <c r="I537" t="s">
        <v>971</v>
      </c>
      <c r="J537">
        <v>181084</v>
      </c>
      <c r="K537" t="s">
        <v>826</v>
      </c>
      <c r="L537" t="s">
        <v>660</v>
      </c>
      <c r="M537" t="s">
        <v>351</v>
      </c>
    </row>
    <row r="538" spans="1:13" x14ac:dyDescent="0.25">
      <c r="A538" t="s">
        <v>453</v>
      </c>
      <c r="B538" t="s">
        <v>617</v>
      </c>
      <c r="C538"/>
      <c r="D538"/>
      <c r="E538"/>
      <c r="F538"/>
      <c r="G538">
        <v>256</v>
      </c>
      <c r="H538" t="s">
        <v>618</v>
      </c>
      <c r="I538" t="s">
        <v>1063</v>
      </c>
      <c r="J538">
        <v>181084</v>
      </c>
      <c r="K538" t="s">
        <v>826</v>
      </c>
      <c r="L538" t="s">
        <v>660</v>
      </c>
      <c r="M538" t="s">
        <v>351</v>
      </c>
    </row>
    <row r="539" spans="1:13" x14ac:dyDescent="0.25">
      <c r="A539" t="s">
        <v>1064</v>
      </c>
      <c r="B539" t="s">
        <v>1065</v>
      </c>
      <c r="C539"/>
      <c r="D539"/>
      <c r="E539"/>
      <c r="F539" t="s">
        <v>500</v>
      </c>
      <c r="G539">
        <v>498</v>
      </c>
      <c r="H539" t="s">
        <v>618</v>
      </c>
      <c r="I539" t="s">
        <v>1063</v>
      </c>
      <c r="J539">
        <v>181084</v>
      </c>
      <c r="K539" t="s">
        <v>826</v>
      </c>
      <c r="L539" t="s">
        <v>660</v>
      </c>
      <c r="M539" t="s">
        <v>351</v>
      </c>
    </row>
    <row r="540" spans="1:13" x14ac:dyDescent="0.25">
      <c r="A540" t="s">
        <v>880</v>
      </c>
      <c r="B540" t="s">
        <v>1052</v>
      </c>
      <c r="C540"/>
      <c r="D540"/>
      <c r="E540"/>
      <c r="F540"/>
      <c r="G540">
        <v>42</v>
      </c>
      <c r="H540" t="s">
        <v>591</v>
      </c>
      <c r="I540" t="s">
        <v>652</v>
      </c>
      <c r="J540">
        <v>181182</v>
      </c>
      <c r="K540" t="s">
        <v>610</v>
      </c>
      <c r="L540" t="s">
        <v>996</v>
      </c>
      <c r="M540" t="s">
        <v>351</v>
      </c>
    </row>
    <row r="541" spans="1:13" x14ac:dyDescent="0.25">
      <c r="A541" t="s">
        <v>378</v>
      </c>
      <c r="B541"/>
      <c r="C541"/>
      <c r="D541"/>
      <c r="E541"/>
      <c r="F541"/>
      <c r="G541">
        <v>755</v>
      </c>
      <c r="H541" t="s">
        <v>1043</v>
      </c>
      <c r="I541" t="s">
        <v>1044</v>
      </c>
      <c r="J541">
        <v>181184</v>
      </c>
      <c r="K541" t="s">
        <v>1045</v>
      </c>
      <c r="L541" t="s">
        <v>888</v>
      </c>
      <c r="M541" t="s">
        <v>351</v>
      </c>
    </row>
    <row r="542" spans="1:13" x14ac:dyDescent="0.25">
      <c r="A542" t="s">
        <v>493</v>
      </c>
      <c r="B542" t="s">
        <v>494</v>
      </c>
      <c r="C542"/>
      <c r="D542"/>
      <c r="E542"/>
      <c r="F542"/>
      <c r="G542">
        <v>88.007000000000005</v>
      </c>
      <c r="H542" t="s">
        <v>368</v>
      </c>
      <c r="I542" t="s">
        <v>767</v>
      </c>
      <c r="J542">
        <v>181186</v>
      </c>
      <c r="K542" t="s">
        <v>768</v>
      </c>
      <c r="L542" t="s">
        <v>758</v>
      </c>
      <c r="M542" t="s">
        <v>351</v>
      </c>
    </row>
    <row r="543" spans="1:13" x14ac:dyDescent="0.25">
      <c r="A543" t="s">
        <v>373</v>
      </c>
      <c r="B543" t="s">
        <v>974</v>
      </c>
      <c r="C543" s="30"/>
      <c r="D543"/>
      <c r="E543" t="s">
        <v>340</v>
      </c>
      <c r="F543" t="s">
        <v>975</v>
      </c>
      <c r="G543">
        <v>143.29900000000001</v>
      </c>
      <c r="H543" t="s">
        <v>647</v>
      </c>
      <c r="I543" t="s">
        <v>976</v>
      </c>
      <c r="J543">
        <v>181282</v>
      </c>
      <c r="K543" t="s">
        <v>977</v>
      </c>
      <c r="L543" t="s">
        <v>911</v>
      </c>
      <c r="M543" t="s">
        <v>351</v>
      </c>
    </row>
    <row r="544" spans="1:13" x14ac:dyDescent="0.25">
      <c r="A544" t="s">
        <v>1053</v>
      </c>
      <c r="B544" t="s">
        <v>1054</v>
      </c>
      <c r="C544"/>
      <c r="D544"/>
      <c r="E544" t="s">
        <v>340</v>
      </c>
      <c r="F544" t="s">
        <v>668</v>
      </c>
      <c r="G544">
        <v>143.29900000000001</v>
      </c>
      <c r="H544" t="s">
        <v>647</v>
      </c>
      <c r="I544" t="s">
        <v>976</v>
      </c>
      <c r="J544">
        <v>181282</v>
      </c>
      <c r="K544" t="s">
        <v>977</v>
      </c>
      <c r="L544" t="s">
        <v>911</v>
      </c>
      <c r="M544" t="s">
        <v>351</v>
      </c>
    </row>
    <row r="545" spans="1:13" x14ac:dyDescent="0.25">
      <c r="A545" t="s">
        <v>1053</v>
      </c>
      <c r="B545" t="s">
        <v>1055</v>
      </c>
      <c r="C545"/>
      <c r="D545"/>
      <c r="E545" t="s">
        <v>340</v>
      </c>
      <c r="F545" t="s">
        <v>668</v>
      </c>
      <c r="G545">
        <v>110.23</v>
      </c>
      <c r="H545" t="s">
        <v>1056</v>
      </c>
      <c r="I545" t="s">
        <v>976</v>
      </c>
      <c r="J545">
        <v>181282</v>
      </c>
      <c r="K545" t="s">
        <v>977</v>
      </c>
      <c r="L545" t="s">
        <v>911</v>
      </c>
      <c r="M545" t="s">
        <v>351</v>
      </c>
    </row>
    <row r="546" spans="1:13" x14ac:dyDescent="0.25">
      <c r="A546" t="s">
        <v>394</v>
      </c>
      <c r="B546"/>
      <c r="C546"/>
      <c r="D546"/>
      <c r="E546"/>
      <c r="F546"/>
      <c r="G546">
        <v>104</v>
      </c>
      <c r="H546" t="s">
        <v>359</v>
      </c>
      <c r="I546" t="s">
        <v>1057</v>
      </c>
      <c r="J546">
        <v>181282</v>
      </c>
      <c r="K546" t="s">
        <v>977</v>
      </c>
      <c r="L546" t="s">
        <v>911</v>
      </c>
      <c r="M546" t="s">
        <v>351</v>
      </c>
    </row>
    <row r="547" spans="1:13" x14ac:dyDescent="0.25">
      <c r="A547" t="s">
        <v>420</v>
      </c>
      <c r="B547"/>
      <c r="C547" t="s">
        <v>349</v>
      </c>
      <c r="D547"/>
      <c r="E547"/>
      <c r="F547" t="s">
        <v>1002</v>
      </c>
      <c r="G547">
        <v>496</v>
      </c>
      <c r="H547" t="s">
        <v>1003</v>
      </c>
      <c r="I547" t="s">
        <v>652</v>
      </c>
      <c r="J547">
        <v>181284</v>
      </c>
      <c r="K547" t="s">
        <v>1004</v>
      </c>
      <c r="L547" t="s">
        <v>657</v>
      </c>
      <c r="M547" t="s">
        <v>351</v>
      </c>
    </row>
    <row r="548" spans="1:13" x14ac:dyDescent="0.25">
      <c r="A548" t="s">
        <v>575</v>
      </c>
      <c r="B548"/>
      <c r="C548"/>
      <c r="D548"/>
      <c r="E548"/>
      <c r="F548"/>
      <c r="G548">
        <v>438</v>
      </c>
      <c r="H548" t="s">
        <v>627</v>
      </c>
      <c r="I548" t="s">
        <v>625</v>
      </c>
      <c r="J548">
        <v>181284</v>
      </c>
      <c r="K548" t="s">
        <v>1004</v>
      </c>
      <c r="L548" t="s">
        <v>657</v>
      </c>
      <c r="M548" t="s">
        <v>351</v>
      </c>
    </row>
    <row r="549" spans="1:13" x14ac:dyDescent="0.25">
      <c r="A549" t="s">
        <v>609</v>
      </c>
      <c r="B549" t="s">
        <v>908</v>
      </c>
      <c r="C549"/>
      <c r="D549"/>
      <c r="E549"/>
      <c r="F549"/>
      <c r="G549">
        <v>45</v>
      </c>
      <c r="H549" t="s">
        <v>541</v>
      </c>
      <c r="I549" t="s">
        <v>909</v>
      </c>
      <c r="J549">
        <v>181286</v>
      </c>
      <c r="K549" t="s">
        <v>910</v>
      </c>
      <c r="L549" t="s">
        <v>911</v>
      </c>
      <c r="M549" t="s">
        <v>351</v>
      </c>
    </row>
    <row r="550" spans="1:13" x14ac:dyDescent="0.25">
      <c r="A550" t="s">
        <v>396</v>
      </c>
      <c r="B550"/>
      <c r="C550"/>
      <c r="D550"/>
      <c r="E550"/>
      <c r="F550"/>
      <c r="G550">
        <v>156</v>
      </c>
      <c r="H550" t="s">
        <v>359</v>
      </c>
      <c r="I550" t="s">
        <v>912</v>
      </c>
      <c r="J550">
        <v>181286</v>
      </c>
      <c r="K550" t="s">
        <v>910</v>
      </c>
      <c r="L550" t="s">
        <v>911</v>
      </c>
      <c r="M550" t="s">
        <v>351</v>
      </c>
    </row>
    <row r="551" spans="1:13" x14ac:dyDescent="0.25">
      <c r="A551" t="s">
        <v>491</v>
      </c>
      <c r="B551"/>
      <c r="C551" t="s">
        <v>349</v>
      </c>
      <c r="D551"/>
      <c r="E551"/>
      <c r="F551" t="s">
        <v>500</v>
      </c>
      <c r="G551">
        <v>5</v>
      </c>
      <c r="H551" t="s">
        <v>356</v>
      </c>
      <c r="I551" t="s">
        <v>358</v>
      </c>
      <c r="J551">
        <v>220386</v>
      </c>
      <c r="K551" t="s">
        <v>830</v>
      </c>
      <c r="L551" t="s">
        <v>801</v>
      </c>
      <c r="M551" t="s">
        <v>351</v>
      </c>
    </row>
    <row r="552" spans="1:13" x14ac:dyDescent="0.25">
      <c r="A552" t="s">
        <v>510</v>
      </c>
      <c r="B552"/>
      <c r="C552" t="s">
        <v>349</v>
      </c>
      <c r="D552"/>
      <c r="E552"/>
      <c r="F552" t="s">
        <v>500</v>
      </c>
      <c r="G552">
        <v>18</v>
      </c>
      <c r="H552" t="s">
        <v>356</v>
      </c>
      <c r="I552" t="s">
        <v>358</v>
      </c>
      <c r="J552">
        <v>220386</v>
      </c>
      <c r="K552" t="s">
        <v>830</v>
      </c>
      <c r="L552" t="s">
        <v>801</v>
      </c>
      <c r="M552" t="s">
        <v>351</v>
      </c>
    </row>
    <row r="553" spans="1:13" x14ac:dyDescent="0.25">
      <c r="A553" t="s">
        <v>634</v>
      </c>
      <c r="B553"/>
      <c r="C553" t="s">
        <v>349</v>
      </c>
      <c r="D553"/>
      <c r="E553"/>
      <c r="F553" t="s">
        <v>500</v>
      </c>
      <c r="G553">
        <v>79</v>
      </c>
      <c r="H553" t="s">
        <v>367</v>
      </c>
      <c r="I553" t="s">
        <v>358</v>
      </c>
      <c r="J553">
        <v>220386</v>
      </c>
      <c r="K553" t="s">
        <v>830</v>
      </c>
      <c r="L553" t="s">
        <v>801</v>
      </c>
      <c r="M553" t="s">
        <v>351</v>
      </c>
    </row>
    <row r="554" spans="1:13" x14ac:dyDescent="0.25">
      <c r="A554" t="s">
        <v>432</v>
      </c>
      <c r="B554"/>
      <c r="C554" t="s">
        <v>349</v>
      </c>
      <c r="D554"/>
      <c r="E554"/>
      <c r="F554"/>
      <c r="G554">
        <v>141</v>
      </c>
      <c r="H554" t="s">
        <v>624</v>
      </c>
      <c r="I554" t="s">
        <v>358</v>
      </c>
      <c r="J554">
        <v>220386</v>
      </c>
      <c r="K554" t="s">
        <v>830</v>
      </c>
      <c r="L554" t="s">
        <v>801</v>
      </c>
      <c r="M554" t="s">
        <v>351</v>
      </c>
    </row>
    <row r="555" spans="1:13" x14ac:dyDescent="0.25">
      <c r="A555" t="s">
        <v>413</v>
      </c>
      <c r="B555"/>
      <c r="C555" t="s">
        <v>349</v>
      </c>
      <c r="D555"/>
      <c r="E555"/>
      <c r="F555" t="s">
        <v>500</v>
      </c>
      <c r="G555">
        <v>522</v>
      </c>
      <c r="H555" t="s">
        <v>524</v>
      </c>
      <c r="I555" t="s">
        <v>358</v>
      </c>
      <c r="J555">
        <v>220386</v>
      </c>
      <c r="K555" t="s">
        <v>830</v>
      </c>
      <c r="L555" t="s">
        <v>801</v>
      </c>
      <c r="M555" t="s">
        <v>351</v>
      </c>
    </row>
    <row r="556" spans="1:13" x14ac:dyDescent="0.25">
      <c r="A556" t="s">
        <v>510</v>
      </c>
      <c r="B556"/>
      <c r="C556" t="s">
        <v>349</v>
      </c>
      <c r="D556"/>
      <c r="E556"/>
      <c r="F556" t="s">
        <v>500</v>
      </c>
      <c r="G556">
        <v>860</v>
      </c>
      <c r="H556" t="s">
        <v>624</v>
      </c>
      <c r="I556" t="s">
        <v>358</v>
      </c>
      <c r="J556">
        <v>220386</v>
      </c>
      <c r="K556" t="s">
        <v>830</v>
      </c>
      <c r="L556" t="s">
        <v>801</v>
      </c>
      <c r="M556" t="s">
        <v>351</v>
      </c>
    </row>
    <row r="557" spans="1:13" x14ac:dyDescent="0.25">
      <c r="A557" t="s">
        <v>432</v>
      </c>
      <c r="B557"/>
      <c r="C557" t="s">
        <v>349</v>
      </c>
      <c r="D557"/>
      <c r="E557"/>
      <c r="F557"/>
      <c r="G557">
        <v>2</v>
      </c>
      <c r="H557" t="s">
        <v>359</v>
      </c>
      <c r="I557" t="s">
        <v>799</v>
      </c>
      <c r="J557">
        <v>220484</v>
      </c>
      <c r="K557" t="s">
        <v>800</v>
      </c>
      <c r="L557" t="s">
        <v>801</v>
      </c>
      <c r="M557" t="s">
        <v>351</v>
      </c>
    </row>
    <row r="558" spans="1:13" x14ac:dyDescent="0.25">
      <c r="A558" t="s">
        <v>353</v>
      </c>
      <c r="B558"/>
      <c r="C558"/>
      <c r="D558"/>
      <c r="E558"/>
      <c r="F558"/>
      <c r="G558">
        <v>3</v>
      </c>
      <c r="H558" t="s">
        <v>367</v>
      </c>
      <c r="I558" t="s">
        <v>806</v>
      </c>
      <c r="J558">
        <v>220484</v>
      </c>
      <c r="K558" t="s">
        <v>800</v>
      </c>
      <c r="L558" t="s">
        <v>801</v>
      </c>
      <c r="M558" t="s">
        <v>351</v>
      </c>
    </row>
    <row r="559" spans="1:13" x14ac:dyDescent="0.25">
      <c r="A559" t="s">
        <v>353</v>
      </c>
      <c r="B559"/>
      <c r="C559"/>
      <c r="D559"/>
      <c r="E559"/>
      <c r="F559"/>
      <c r="G559">
        <v>10</v>
      </c>
      <c r="H559" t="s">
        <v>541</v>
      </c>
      <c r="I559" t="s">
        <v>799</v>
      </c>
      <c r="J559">
        <v>220484</v>
      </c>
      <c r="K559" t="s">
        <v>800</v>
      </c>
      <c r="L559" t="s">
        <v>801</v>
      </c>
      <c r="M559" t="s">
        <v>351</v>
      </c>
    </row>
    <row r="560" spans="1:13" x14ac:dyDescent="0.25">
      <c r="A560" t="s">
        <v>544</v>
      </c>
      <c r="B560"/>
      <c r="C560" t="s">
        <v>349</v>
      </c>
      <c r="D560"/>
      <c r="E560"/>
      <c r="F560" t="s">
        <v>500</v>
      </c>
      <c r="G560">
        <v>8</v>
      </c>
      <c r="H560" t="s">
        <v>626</v>
      </c>
      <c r="I560" t="s">
        <v>799</v>
      </c>
      <c r="J560">
        <v>220484</v>
      </c>
      <c r="K560" t="s">
        <v>800</v>
      </c>
      <c r="L560" t="s">
        <v>801</v>
      </c>
      <c r="M560" t="s">
        <v>351</v>
      </c>
    </row>
    <row r="561" spans="1:13" x14ac:dyDescent="0.25">
      <c r="A561" t="s">
        <v>373</v>
      </c>
      <c r="B561" t="s">
        <v>885</v>
      </c>
      <c r="C561" t="s">
        <v>349</v>
      </c>
      <c r="D561"/>
      <c r="E561"/>
      <c r="F561" t="s">
        <v>500</v>
      </c>
      <c r="G561">
        <v>17</v>
      </c>
      <c r="H561" t="s">
        <v>356</v>
      </c>
      <c r="I561" t="s">
        <v>806</v>
      </c>
      <c r="J561">
        <v>220484</v>
      </c>
      <c r="K561" t="s">
        <v>800</v>
      </c>
      <c r="L561" t="s">
        <v>801</v>
      </c>
      <c r="M561" t="s">
        <v>351</v>
      </c>
    </row>
    <row r="562" spans="1:13" x14ac:dyDescent="0.25">
      <c r="A562" t="s">
        <v>458</v>
      </c>
      <c r="B562"/>
      <c r="C562" t="s">
        <v>349</v>
      </c>
      <c r="D562"/>
      <c r="E562"/>
      <c r="F562" t="s">
        <v>500</v>
      </c>
      <c r="G562">
        <v>18</v>
      </c>
      <c r="H562" t="s">
        <v>367</v>
      </c>
      <c r="I562" t="s">
        <v>806</v>
      </c>
      <c r="J562">
        <v>220484</v>
      </c>
      <c r="K562" t="s">
        <v>800</v>
      </c>
      <c r="L562" t="s">
        <v>801</v>
      </c>
      <c r="M562" t="s">
        <v>351</v>
      </c>
    </row>
    <row r="563" spans="1:13" x14ac:dyDescent="0.25">
      <c r="A563" t="s">
        <v>484</v>
      </c>
      <c r="B563"/>
      <c r="C563" t="s">
        <v>349</v>
      </c>
      <c r="D563"/>
      <c r="E563"/>
      <c r="F563" t="s">
        <v>500</v>
      </c>
      <c r="G563">
        <v>54</v>
      </c>
      <c r="H563" t="s">
        <v>389</v>
      </c>
      <c r="I563" t="s">
        <v>806</v>
      </c>
      <c r="J563">
        <v>220484</v>
      </c>
      <c r="K563" t="s">
        <v>800</v>
      </c>
      <c r="L563" t="s">
        <v>801</v>
      </c>
      <c r="M563" t="s">
        <v>351</v>
      </c>
    </row>
    <row r="564" spans="1:13" x14ac:dyDescent="0.25">
      <c r="A564" t="s">
        <v>546</v>
      </c>
      <c r="B564"/>
      <c r="C564" t="s">
        <v>349</v>
      </c>
      <c r="D564"/>
      <c r="E564"/>
      <c r="F564"/>
      <c r="G564">
        <v>18.73</v>
      </c>
      <c r="H564" t="s">
        <v>509</v>
      </c>
      <c r="I564" t="s">
        <v>886</v>
      </c>
      <c r="J564">
        <v>220504</v>
      </c>
      <c r="K564" t="s">
        <v>887</v>
      </c>
      <c r="L564" t="s">
        <v>888</v>
      </c>
      <c r="M564" t="s">
        <v>351</v>
      </c>
    </row>
    <row r="565" spans="1:13" x14ac:dyDescent="0.25">
      <c r="A565" t="s">
        <v>396</v>
      </c>
      <c r="B565"/>
      <c r="C565"/>
      <c r="D565"/>
      <c r="E565"/>
      <c r="F565"/>
      <c r="G565">
        <v>2</v>
      </c>
      <c r="H565" t="s">
        <v>356</v>
      </c>
      <c r="I565" t="s">
        <v>658</v>
      </c>
      <c r="J565">
        <v>220586</v>
      </c>
      <c r="K565" t="s">
        <v>659</v>
      </c>
      <c r="L565" t="s">
        <v>660</v>
      </c>
      <c r="M565" t="s">
        <v>351</v>
      </c>
    </row>
    <row r="566" spans="1:13" x14ac:dyDescent="0.25">
      <c r="A566" t="s">
        <v>444</v>
      </c>
      <c r="B566"/>
      <c r="C566" t="s">
        <v>349</v>
      </c>
      <c r="D566"/>
      <c r="E566"/>
      <c r="F566" t="s">
        <v>382</v>
      </c>
      <c r="G566">
        <v>12</v>
      </c>
      <c r="H566" t="s">
        <v>356</v>
      </c>
      <c r="I566" t="s">
        <v>358</v>
      </c>
      <c r="J566">
        <v>220586</v>
      </c>
      <c r="K566" t="s">
        <v>659</v>
      </c>
      <c r="L566" t="s">
        <v>660</v>
      </c>
      <c r="M566" t="s">
        <v>351</v>
      </c>
    </row>
    <row r="567" spans="1:13" x14ac:dyDescent="0.25">
      <c r="A567" t="s">
        <v>413</v>
      </c>
      <c r="B567"/>
      <c r="C567" t="s">
        <v>349</v>
      </c>
      <c r="D567"/>
      <c r="E567"/>
      <c r="F567" t="s">
        <v>382</v>
      </c>
      <c r="G567">
        <v>16</v>
      </c>
      <c r="H567" t="s">
        <v>364</v>
      </c>
      <c r="I567" t="s">
        <v>358</v>
      </c>
      <c r="J567">
        <v>220586</v>
      </c>
      <c r="K567" t="s">
        <v>659</v>
      </c>
      <c r="L567" t="s">
        <v>660</v>
      </c>
      <c r="M567" t="s">
        <v>351</v>
      </c>
    </row>
    <row r="568" spans="1:13" x14ac:dyDescent="0.25">
      <c r="A568" t="s">
        <v>490</v>
      </c>
      <c r="B568"/>
      <c r="C568" t="s">
        <v>349</v>
      </c>
      <c r="D568"/>
      <c r="E568"/>
      <c r="F568" t="s">
        <v>545</v>
      </c>
      <c r="G568">
        <v>23</v>
      </c>
      <c r="H568" t="s">
        <v>364</v>
      </c>
      <c r="I568" t="s">
        <v>358</v>
      </c>
      <c r="J568">
        <v>220586</v>
      </c>
      <c r="K568" t="s">
        <v>659</v>
      </c>
      <c r="L568" t="s">
        <v>660</v>
      </c>
      <c r="M568" t="s">
        <v>351</v>
      </c>
    </row>
    <row r="569" spans="1:13" x14ac:dyDescent="0.25">
      <c r="A569" t="s">
        <v>432</v>
      </c>
      <c r="B569"/>
      <c r="C569" t="s">
        <v>349</v>
      </c>
      <c r="D569"/>
      <c r="E569"/>
      <c r="F569"/>
      <c r="G569">
        <v>24</v>
      </c>
      <c r="H569" t="s">
        <v>364</v>
      </c>
      <c r="I569" t="s">
        <v>358</v>
      </c>
      <c r="J569">
        <v>220586</v>
      </c>
      <c r="K569" t="s">
        <v>659</v>
      </c>
      <c r="L569" t="s">
        <v>660</v>
      </c>
      <c r="M569" t="s">
        <v>351</v>
      </c>
    </row>
    <row r="570" spans="1:13" x14ac:dyDescent="0.25">
      <c r="A570" t="s">
        <v>432</v>
      </c>
      <c r="B570"/>
      <c r="C570" t="s">
        <v>349</v>
      </c>
      <c r="D570"/>
      <c r="E570"/>
      <c r="F570"/>
      <c r="G570">
        <v>246</v>
      </c>
      <c r="H570" t="s">
        <v>638</v>
      </c>
      <c r="I570" t="s">
        <v>358</v>
      </c>
      <c r="J570">
        <v>220586</v>
      </c>
      <c r="K570" t="s">
        <v>659</v>
      </c>
      <c r="L570" t="s">
        <v>660</v>
      </c>
      <c r="M570" t="s">
        <v>351</v>
      </c>
    </row>
    <row r="571" spans="1:13" x14ac:dyDescent="0.25">
      <c r="A571" t="s">
        <v>373</v>
      </c>
      <c r="B571" t="s">
        <v>383</v>
      </c>
      <c r="C571" t="s">
        <v>349</v>
      </c>
      <c r="D571"/>
      <c r="E571"/>
      <c r="F571" t="s">
        <v>721</v>
      </c>
      <c r="G571">
        <v>0.3</v>
      </c>
      <c r="H571" t="s">
        <v>356</v>
      </c>
      <c r="I571" t="s">
        <v>682</v>
      </c>
      <c r="J571">
        <v>220602</v>
      </c>
      <c r="K571" t="s">
        <v>722</v>
      </c>
      <c r="L571" t="s">
        <v>723</v>
      </c>
      <c r="M571" t="s">
        <v>351</v>
      </c>
    </row>
    <row r="572" spans="1:13" x14ac:dyDescent="0.25">
      <c r="A572" t="s">
        <v>435</v>
      </c>
      <c r="B572" t="s">
        <v>731</v>
      </c>
      <c r="C572" t="s">
        <v>349</v>
      </c>
      <c r="D572"/>
      <c r="E572"/>
      <c r="F572" t="s">
        <v>597</v>
      </c>
      <c r="G572">
        <v>0.3</v>
      </c>
      <c r="H572" t="s">
        <v>356</v>
      </c>
      <c r="I572" t="s">
        <v>682</v>
      </c>
      <c r="J572">
        <v>220602</v>
      </c>
      <c r="K572" t="s">
        <v>722</v>
      </c>
      <c r="L572" t="s">
        <v>723</v>
      </c>
      <c r="M572" t="s">
        <v>351</v>
      </c>
    </row>
    <row r="573" spans="1:13" x14ac:dyDescent="0.25">
      <c r="A573" t="s">
        <v>373</v>
      </c>
      <c r="B573" t="s">
        <v>461</v>
      </c>
      <c r="C573" t="s">
        <v>349</v>
      </c>
      <c r="D573"/>
      <c r="E573"/>
      <c r="F573" t="s">
        <v>441</v>
      </c>
      <c r="G573">
        <v>0.5</v>
      </c>
      <c r="H573" t="s">
        <v>356</v>
      </c>
      <c r="I573" t="s">
        <v>682</v>
      </c>
      <c r="J573">
        <v>220602</v>
      </c>
      <c r="K573" t="s">
        <v>722</v>
      </c>
      <c r="L573" t="s">
        <v>723</v>
      </c>
      <c r="M573" t="s">
        <v>351</v>
      </c>
    </row>
    <row r="574" spans="1:13" x14ac:dyDescent="0.25">
      <c r="A574" t="s">
        <v>1109</v>
      </c>
      <c r="B574"/>
      <c r="C574" t="s">
        <v>349</v>
      </c>
      <c r="D574"/>
      <c r="E574"/>
      <c r="F574"/>
      <c r="G574">
        <v>0.8</v>
      </c>
      <c r="H574" t="s">
        <v>364</v>
      </c>
      <c r="I574" t="s">
        <v>682</v>
      </c>
      <c r="J574">
        <v>220602</v>
      </c>
      <c r="K574" t="s">
        <v>722</v>
      </c>
      <c r="L574" t="s">
        <v>723</v>
      </c>
      <c r="M574" t="s">
        <v>351</v>
      </c>
    </row>
    <row r="575" spans="1:13" x14ac:dyDescent="0.25">
      <c r="A575" t="s">
        <v>423</v>
      </c>
      <c r="B575"/>
      <c r="C575" t="s">
        <v>349</v>
      </c>
      <c r="D575"/>
      <c r="E575"/>
      <c r="F575" t="s">
        <v>545</v>
      </c>
      <c r="G575">
        <v>1</v>
      </c>
      <c r="H575" t="s">
        <v>356</v>
      </c>
      <c r="I575" t="s">
        <v>682</v>
      </c>
      <c r="J575">
        <v>220602</v>
      </c>
      <c r="K575" t="s">
        <v>722</v>
      </c>
      <c r="L575" t="s">
        <v>723</v>
      </c>
      <c r="M575" t="s">
        <v>351</v>
      </c>
    </row>
    <row r="576" spans="1:13" x14ac:dyDescent="0.25">
      <c r="A576" t="s">
        <v>420</v>
      </c>
      <c r="B576"/>
      <c r="C576" t="s">
        <v>349</v>
      </c>
      <c r="D576"/>
      <c r="E576"/>
      <c r="F576" t="s">
        <v>784</v>
      </c>
      <c r="G576">
        <v>1.2</v>
      </c>
      <c r="H576" t="s">
        <v>356</v>
      </c>
      <c r="I576" t="s">
        <v>682</v>
      </c>
      <c r="J576">
        <v>220602</v>
      </c>
      <c r="K576" t="s">
        <v>722</v>
      </c>
      <c r="L576" t="s">
        <v>723</v>
      </c>
      <c r="M576" t="s">
        <v>351</v>
      </c>
    </row>
    <row r="577" spans="1:13" x14ac:dyDescent="0.25">
      <c r="A577" t="s">
        <v>373</v>
      </c>
      <c r="B577" t="s">
        <v>471</v>
      </c>
      <c r="C577" t="s">
        <v>349</v>
      </c>
      <c r="D577"/>
      <c r="E577"/>
      <c r="F577" t="s">
        <v>415</v>
      </c>
      <c r="G577">
        <v>1.4</v>
      </c>
      <c r="H577" t="s">
        <v>364</v>
      </c>
      <c r="I577" t="s">
        <v>682</v>
      </c>
      <c r="J577">
        <v>220602</v>
      </c>
      <c r="K577" t="s">
        <v>722</v>
      </c>
      <c r="L577" t="s">
        <v>723</v>
      </c>
      <c r="M577" t="s">
        <v>351</v>
      </c>
    </row>
    <row r="578" spans="1:13" x14ac:dyDescent="0.25">
      <c r="A578" t="s">
        <v>518</v>
      </c>
      <c r="B578"/>
      <c r="C578" t="s">
        <v>349</v>
      </c>
      <c r="D578"/>
      <c r="E578"/>
      <c r="F578" t="s">
        <v>519</v>
      </c>
      <c r="G578">
        <v>1.4</v>
      </c>
      <c r="H578" t="s">
        <v>356</v>
      </c>
      <c r="I578" t="s">
        <v>682</v>
      </c>
      <c r="J578">
        <v>220602</v>
      </c>
      <c r="K578" t="s">
        <v>722</v>
      </c>
      <c r="L578" t="s">
        <v>723</v>
      </c>
      <c r="M578" t="s">
        <v>351</v>
      </c>
    </row>
    <row r="579" spans="1:13" x14ac:dyDescent="0.25">
      <c r="A579" t="s">
        <v>468</v>
      </c>
      <c r="B579"/>
      <c r="C579" t="s">
        <v>349</v>
      </c>
      <c r="D579"/>
      <c r="E579"/>
      <c r="F579" t="s">
        <v>514</v>
      </c>
      <c r="G579">
        <v>1.8</v>
      </c>
      <c r="H579" t="s">
        <v>364</v>
      </c>
      <c r="I579" t="s">
        <v>682</v>
      </c>
      <c r="J579">
        <v>220602</v>
      </c>
      <c r="K579" t="s">
        <v>722</v>
      </c>
      <c r="L579" t="s">
        <v>723</v>
      </c>
      <c r="M579" t="s">
        <v>351</v>
      </c>
    </row>
    <row r="580" spans="1:13" x14ac:dyDescent="0.25">
      <c r="A580" t="s">
        <v>413</v>
      </c>
      <c r="B580"/>
      <c r="C580" t="s">
        <v>349</v>
      </c>
      <c r="D580"/>
      <c r="E580"/>
      <c r="F580" t="s">
        <v>418</v>
      </c>
      <c r="G580">
        <v>2.1</v>
      </c>
      <c r="H580" t="s">
        <v>393</v>
      </c>
      <c r="I580" t="s">
        <v>682</v>
      </c>
      <c r="J580">
        <v>220602</v>
      </c>
      <c r="K580" t="s">
        <v>722</v>
      </c>
      <c r="L580" t="s">
        <v>723</v>
      </c>
      <c r="M580" t="s">
        <v>351</v>
      </c>
    </row>
    <row r="581" spans="1:13" x14ac:dyDescent="0.25">
      <c r="A581" t="s">
        <v>462</v>
      </c>
      <c r="B581" t="s">
        <v>547</v>
      </c>
      <c r="C581" t="s">
        <v>349</v>
      </c>
      <c r="D581"/>
      <c r="E581"/>
      <c r="F581"/>
      <c r="G581">
        <v>4.3</v>
      </c>
      <c r="H581" t="s">
        <v>356</v>
      </c>
      <c r="I581" t="s">
        <v>682</v>
      </c>
      <c r="J581">
        <v>220602</v>
      </c>
      <c r="K581" t="s">
        <v>722</v>
      </c>
      <c r="L581" t="s">
        <v>723</v>
      </c>
      <c r="M581" t="s">
        <v>351</v>
      </c>
    </row>
    <row r="582" spans="1:13" x14ac:dyDescent="0.25">
      <c r="A582" t="s">
        <v>371</v>
      </c>
      <c r="B582" t="s">
        <v>442</v>
      </c>
      <c r="C582" t="s">
        <v>349</v>
      </c>
      <c r="D582"/>
      <c r="E582"/>
      <c r="F582" t="s">
        <v>377</v>
      </c>
      <c r="G582">
        <v>6</v>
      </c>
      <c r="H582" t="s">
        <v>356</v>
      </c>
      <c r="I582" t="s">
        <v>682</v>
      </c>
      <c r="J582">
        <v>220602</v>
      </c>
      <c r="K582" t="s">
        <v>722</v>
      </c>
      <c r="L582" t="s">
        <v>723</v>
      </c>
      <c r="M582" t="s">
        <v>351</v>
      </c>
    </row>
    <row r="583" spans="1:13" x14ac:dyDescent="0.25">
      <c r="A583" t="s">
        <v>483</v>
      </c>
      <c r="B583"/>
      <c r="C583" t="s">
        <v>349</v>
      </c>
      <c r="D583"/>
      <c r="E583"/>
      <c r="F583" t="s">
        <v>398</v>
      </c>
      <c r="G583">
        <v>8.6</v>
      </c>
      <c r="H583" t="s">
        <v>407</v>
      </c>
      <c r="I583" t="s">
        <v>682</v>
      </c>
      <c r="J583">
        <v>220602</v>
      </c>
      <c r="K583" t="s">
        <v>722</v>
      </c>
      <c r="L583" t="s">
        <v>723</v>
      </c>
      <c r="M583" t="s">
        <v>351</v>
      </c>
    </row>
    <row r="584" spans="1:13" x14ac:dyDescent="0.25">
      <c r="A584" t="s">
        <v>572</v>
      </c>
      <c r="B584" t="s">
        <v>573</v>
      </c>
      <c r="C584" t="s">
        <v>349</v>
      </c>
      <c r="D584"/>
      <c r="E584"/>
      <c r="F584"/>
      <c r="G584">
        <v>10.4</v>
      </c>
      <c r="H584" t="s">
        <v>356</v>
      </c>
      <c r="I584" t="s">
        <v>682</v>
      </c>
      <c r="J584">
        <v>220602</v>
      </c>
      <c r="K584" t="s">
        <v>722</v>
      </c>
      <c r="L584" t="s">
        <v>723</v>
      </c>
      <c r="M584" t="s">
        <v>351</v>
      </c>
    </row>
    <row r="585" spans="1:13" x14ac:dyDescent="0.25">
      <c r="A585" t="s">
        <v>534</v>
      </c>
      <c r="B585" t="s">
        <v>496</v>
      </c>
      <c r="C585" t="s">
        <v>349</v>
      </c>
      <c r="D585"/>
      <c r="E585"/>
      <c r="F585"/>
      <c r="G585">
        <v>11</v>
      </c>
      <c r="H585" t="s">
        <v>356</v>
      </c>
      <c r="I585" t="s">
        <v>682</v>
      </c>
      <c r="J585">
        <v>220602</v>
      </c>
      <c r="K585" t="s">
        <v>722</v>
      </c>
      <c r="L585" t="s">
        <v>723</v>
      </c>
      <c r="M585" t="s">
        <v>351</v>
      </c>
    </row>
    <row r="586" spans="1:13" x14ac:dyDescent="0.25">
      <c r="A586" t="s">
        <v>432</v>
      </c>
      <c r="B586"/>
      <c r="C586" t="s">
        <v>349</v>
      </c>
      <c r="D586"/>
      <c r="E586"/>
      <c r="F586"/>
      <c r="G586">
        <v>13.4</v>
      </c>
      <c r="H586" t="s">
        <v>356</v>
      </c>
      <c r="I586" t="s">
        <v>682</v>
      </c>
      <c r="J586">
        <v>220602</v>
      </c>
      <c r="K586" t="s">
        <v>722</v>
      </c>
      <c r="L586" t="s">
        <v>723</v>
      </c>
      <c r="M586" t="s">
        <v>351</v>
      </c>
    </row>
    <row r="587" spans="1:13" x14ac:dyDescent="0.25">
      <c r="A587" t="s">
        <v>493</v>
      </c>
      <c r="B587" t="s">
        <v>594</v>
      </c>
      <c r="C587" t="s">
        <v>349</v>
      </c>
      <c r="D587"/>
      <c r="E587"/>
      <c r="F587"/>
      <c r="G587">
        <v>20</v>
      </c>
      <c r="H587" t="s">
        <v>356</v>
      </c>
      <c r="I587" t="s">
        <v>682</v>
      </c>
      <c r="J587">
        <v>220602</v>
      </c>
      <c r="K587" t="s">
        <v>722</v>
      </c>
      <c r="L587" t="s">
        <v>723</v>
      </c>
      <c r="M587" t="s">
        <v>351</v>
      </c>
    </row>
    <row r="588" spans="1:13" x14ac:dyDescent="0.25">
      <c r="A588" t="s">
        <v>484</v>
      </c>
      <c r="B588"/>
      <c r="C588" t="s">
        <v>349</v>
      </c>
      <c r="D588"/>
      <c r="E588"/>
      <c r="F588" t="s">
        <v>473</v>
      </c>
      <c r="G588">
        <v>24.7</v>
      </c>
      <c r="H588" t="s">
        <v>356</v>
      </c>
      <c r="I588" t="s">
        <v>682</v>
      </c>
      <c r="J588">
        <v>220602</v>
      </c>
      <c r="K588" t="s">
        <v>722</v>
      </c>
      <c r="L588" t="s">
        <v>723</v>
      </c>
      <c r="M588" t="s">
        <v>351</v>
      </c>
    </row>
    <row r="589" spans="1:13" x14ac:dyDescent="0.25">
      <c r="A589" t="s">
        <v>472</v>
      </c>
      <c r="B589"/>
      <c r="C589" t="s">
        <v>349</v>
      </c>
      <c r="D589"/>
      <c r="E589"/>
      <c r="F589" t="s">
        <v>380</v>
      </c>
      <c r="G589">
        <v>26.3</v>
      </c>
      <c r="H589" t="s">
        <v>391</v>
      </c>
      <c r="I589" t="s">
        <v>682</v>
      </c>
      <c r="J589">
        <v>220602</v>
      </c>
      <c r="K589" t="s">
        <v>722</v>
      </c>
      <c r="L589" t="s">
        <v>723</v>
      </c>
      <c r="M589" t="s">
        <v>351</v>
      </c>
    </row>
    <row r="590" spans="1:13" x14ac:dyDescent="0.25">
      <c r="A590" t="s">
        <v>546</v>
      </c>
      <c r="B590"/>
      <c r="C590" t="s">
        <v>349</v>
      </c>
      <c r="D590"/>
      <c r="E590"/>
      <c r="F590"/>
      <c r="G590">
        <v>31.7</v>
      </c>
      <c r="H590" t="s">
        <v>393</v>
      </c>
      <c r="I590" t="s">
        <v>682</v>
      </c>
      <c r="J590">
        <v>220602</v>
      </c>
      <c r="K590" t="s">
        <v>722</v>
      </c>
      <c r="L590" t="s">
        <v>723</v>
      </c>
      <c r="M590" t="s">
        <v>351</v>
      </c>
    </row>
    <row r="591" spans="1:13" x14ac:dyDescent="0.25">
      <c r="A591" t="s">
        <v>462</v>
      </c>
      <c r="B591" t="s">
        <v>900</v>
      </c>
      <c r="C591" t="s">
        <v>349</v>
      </c>
      <c r="D591"/>
      <c r="E591"/>
      <c r="F591"/>
      <c r="G591">
        <v>38.200000000000003</v>
      </c>
      <c r="H591" t="s">
        <v>356</v>
      </c>
      <c r="I591" t="s">
        <v>682</v>
      </c>
      <c r="J591">
        <v>220602</v>
      </c>
      <c r="K591" t="s">
        <v>722</v>
      </c>
      <c r="L591" t="s">
        <v>723</v>
      </c>
      <c r="M591" t="s">
        <v>351</v>
      </c>
    </row>
    <row r="592" spans="1:13" x14ac:dyDescent="0.25">
      <c r="A592" t="s">
        <v>568</v>
      </c>
      <c r="B592"/>
      <c r="C592" t="s">
        <v>349</v>
      </c>
      <c r="D592"/>
      <c r="E592"/>
      <c r="F592"/>
      <c r="G592">
        <v>38.299999999999997</v>
      </c>
      <c r="H592" t="s">
        <v>356</v>
      </c>
      <c r="I592" t="s">
        <v>682</v>
      </c>
      <c r="J592">
        <v>220602</v>
      </c>
      <c r="K592" t="s">
        <v>722</v>
      </c>
      <c r="L592" t="s">
        <v>723</v>
      </c>
      <c r="M592" t="s">
        <v>351</v>
      </c>
    </row>
    <row r="593" spans="1:13" x14ac:dyDescent="0.25">
      <c r="A593" t="s">
        <v>432</v>
      </c>
      <c r="B593"/>
      <c r="C593" t="s">
        <v>349</v>
      </c>
      <c r="D593"/>
      <c r="E593"/>
      <c r="F593"/>
      <c r="G593">
        <v>69.3</v>
      </c>
      <c r="H593" t="s">
        <v>405</v>
      </c>
      <c r="I593" t="s">
        <v>682</v>
      </c>
      <c r="J593">
        <v>220602</v>
      </c>
      <c r="K593" t="s">
        <v>722</v>
      </c>
      <c r="L593" t="s">
        <v>723</v>
      </c>
      <c r="M593" t="s">
        <v>351</v>
      </c>
    </row>
    <row r="594" spans="1:13" x14ac:dyDescent="0.25">
      <c r="A594" t="s">
        <v>568</v>
      </c>
      <c r="B594"/>
      <c r="C594" t="s">
        <v>349</v>
      </c>
      <c r="D594"/>
      <c r="E594"/>
      <c r="F594"/>
      <c r="G594">
        <v>230.4</v>
      </c>
      <c r="H594" t="s">
        <v>393</v>
      </c>
      <c r="I594" t="s">
        <v>682</v>
      </c>
      <c r="J594">
        <v>220602</v>
      </c>
      <c r="K594" t="s">
        <v>722</v>
      </c>
      <c r="L594" t="s">
        <v>723</v>
      </c>
      <c r="M594" t="s">
        <v>351</v>
      </c>
    </row>
    <row r="595" spans="1:13" x14ac:dyDescent="0.25">
      <c r="A595" t="s">
        <v>419</v>
      </c>
      <c r="B595"/>
      <c r="C595" t="s">
        <v>349</v>
      </c>
      <c r="D595"/>
      <c r="E595"/>
      <c r="F595" t="s">
        <v>504</v>
      </c>
      <c r="G595">
        <v>0.1</v>
      </c>
      <c r="H595" t="s">
        <v>356</v>
      </c>
      <c r="I595" t="s">
        <v>384</v>
      </c>
      <c r="J595">
        <v>220604</v>
      </c>
      <c r="K595" t="s">
        <v>530</v>
      </c>
      <c r="L595" t="s">
        <v>675</v>
      </c>
      <c r="M595" t="s">
        <v>351</v>
      </c>
    </row>
    <row r="596" spans="1:13" x14ac:dyDescent="0.25">
      <c r="A596" t="s">
        <v>373</v>
      </c>
      <c r="B596" t="s">
        <v>461</v>
      </c>
      <c r="C596" t="s">
        <v>349</v>
      </c>
      <c r="D596"/>
      <c r="E596"/>
      <c r="F596" t="s">
        <v>441</v>
      </c>
      <c r="G596">
        <v>0.5</v>
      </c>
      <c r="H596" t="s">
        <v>356</v>
      </c>
      <c r="I596" t="s">
        <v>384</v>
      </c>
      <c r="J596">
        <v>220604</v>
      </c>
      <c r="K596" t="s">
        <v>530</v>
      </c>
      <c r="L596" t="s">
        <v>675</v>
      </c>
      <c r="M596" t="s">
        <v>351</v>
      </c>
    </row>
    <row r="597" spans="1:13" x14ac:dyDescent="0.25">
      <c r="A597" t="s">
        <v>420</v>
      </c>
      <c r="B597"/>
      <c r="C597" t="s">
        <v>349</v>
      </c>
      <c r="D597"/>
      <c r="E597"/>
      <c r="F597" t="s">
        <v>451</v>
      </c>
      <c r="G597">
        <v>1</v>
      </c>
      <c r="H597" t="s">
        <v>356</v>
      </c>
      <c r="I597" t="s">
        <v>384</v>
      </c>
      <c r="J597">
        <v>220604</v>
      </c>
      <c r="K597" t="s">
        <v>530</v>
      </c>
      <c r="L597" t="s">
        <v>675</v>
      </c>
      <c r="M597" t="s">
        <v>351</v>
      </c>
    </row>
    <row r="598" spans="1:13" x14ac:dyDescent="0.25">
      <c r="A598" t="s">
        <v>347</v>
      </c>
      <c r="B598" t="s">
        <v>779</v>
      </c>
      <c r="C598" t="s">
        <v>349</v>
      </c>
      <c r="D598"/>
      <c r="E598"/>
      <c r="F598"/>
      <c r="G598">
        <v>1.1000000000000001</v>
      </c>
      <c r="H598" t="s">
        <v>364</v>
      </c>
      <c r="I598" t="s">
        <v>384</v>
      </c>
      <c r="J598">
        <v>220604</v>
      </c>
      <c r="K598" t="s">
        <v>530</v>
      </c>
      <c r="L598" t="s">
        <v>675</v>
      </c>
      <c r="M598" t="s">
        <v>351</v>
      </c>
    </row>
    <row r="599" spans="1:13" x14ac:dyDescent="0.25">
      <c r="A599" t="s">
        <v>413</v>
      </c>
      <c r="B599"/>
      <c r="C599" t="s">
        <v>349</v>
      </c>
      <c r="D599"/>
      <c r="E599"/>
      <c r="F599" t="s">
        <v>418</v>
      </c>
      <c r="G599">
        <v>1.2</v>
      </c>
      <c r="H599" t="s">
        <v>361</v>
      </c>
      <c r="I599" t="s">
        <v>384</v>
      </c>
      <c r="J599">
        <v>220604</v>
      </c>
      <c r="K599" t="s">
        <v>530</v>
      </c>
      <c r="L599" t="s">
        <v>675</v>
      </c>
      <c r="M599" t="s">
        <v>351</v>
      </c>
    </row>
    <row r="600" spans="1:13" x14ac:dyDescent="0.25">
      <c r="A600" t="s">
        <v>468</v>
      </c>
      <c r="B600"/>
      <c r="C600" t="s">
        <v>349</v>
      </c>
      <c r="D600"/>
      <c r="E600"/>
      <c r="F600" t="s">
        <v>514</v>
      </c>
      <c r="G600">
        <v>1.3</v>
      </c>
      <c r="H600" t="s">
        <v>356</v>
      </c>
      <c r="I600" t="s">
        <v>384</v>
      </c>
      <c r="J600">
        <v>220604</v>
      </c>
      <c r="K600" t="s">
        <v>530</v>
      </c>
      <c r="L600" t="s">
        <v>675</v>
      </c>
      <c r="M600" t="s">
        <v>351</v>
      </c>
    </row>
    <row r="601" spans="1:13" x14ac:dyDescent="0.25">
      <c r="A601" t="s">
        <v>444</v>
      </c>
      <c r="B601"/>
      <c r="C601" t="s">
        <v>349</v>
      </c>
      <c r="D601"/>
      <c r="E601"/>
      <c r="F601" t="s">
        <v>473</v>
      </c>
      <c r="G601">
        <v>1.4</v>
      </c>
      <c r="H601" t="s">
        <v>356</v>
      </c>
      <c r="I601" t="s">
        <v>384</v>
      </c>
      <c r="J601">
        <v>220604</v>
      </c>
      <c r="K601" t="s">
        <v>530</v>
      </c>
      <c r="L601" t="s">
        <v>675</v>
      </c>
      <c r="M601" t="s">
        <v>351</v>
      </c>
    </row>
    <row r="602" spans="1:13" x14ac:dyDescent="0.25">
      <c r="A602" t="s">
        <v>518</v>
      </c>
      <c r="B602"/>
      <c r="C602" t="s">
        <v>349</v>
      </c>
      <c r="D602"/>
      <c r="E602"/>
      <c r="F602" t="s">
        <v>519</v>
      </c>
      <c r="G602">
        <v>1.4</v>
      </c>
      <c r="H602" t="s">
        <v>356</v>
      </c>
      <c r="I602" t="s">
        <v>384</v>
      </c>
      <c r="J602">
        <v>220604</v>
      </c>
      <c r="K602" t="s">
        <v>530</v>
      </c>
      <c r="L602" t="s">
        <v>675</v>
      </c>
      <c r="M602" t="s">
        <v>351</v>
      </c>
    </row>
    <row r="603" spans="1:13" x14ac:dyDescent="0.25">
      <c r="A603" t="s">
        <v>373</v>
      </c>
      <c r="B603" t="s">
        <v>471</v>
      </c>
      <c r="C603" t="s">
        <v>349</v>
      </c>
      <c r="D603"/>
      <c r="E603"/>
      <c r="F603" t="s">
        <v>415</v>
      </c>
      <c r="G603">
        <v>1.6</v>
      </c>
      <c r="H603" t="s">
        <v>364</v>
      </c>
      <c r="I603" t="s">
        <v>384</v>
      </c>
      <c r="J603">
        <v>220604</v>
      </c>
      <c r="K603" t="s">
        <v>530</v>
      </c>
      <c r="L603" t="s">
        <v>675</v>
      </c>
      <c r="M603" t="s">
        <v>351</v>
      </c>
    </row>
    <row r="604" spans="1:13" x14ac:dyDescent="0.25">
      <c r="A604" t="s">
        <v>373</v>
      </c>
      <c r="B604" t="s">
        <v>507</v>
      </c>
      <c r="C604" t="s">
        <v>349</v>
      </c>
      <c r="D604"/>
      <c r="E604"/>
      <c r="F604" t="s">
        <v>428</v>
      </c>
      <c r="G604">
        <v>2.2000000000000002</v>
      </c>
      <c r="H604" t="s">
        <v>364</v>
      </c>
      <c r="I604" t="s">
        <v>384</v>
      </c>
      <c r="J604">
        <v>220604</v>
      </c>
      <c r="K604" t="s">
        <v>530</v>
      </c>
      <c r="L604" t="s">
        <v>675</v>
      </c>
      <c r="M604" t="s">
        <v>351</v>
      </c>
    </row>
    <row r="605" spans="1:13" x14ac:dyDescent="0.25">
      <c r="A605" t="s">
        <v>387</v>
      </c>
      <c r="B605" t="s">
        <v>535</v>
      </c>
      <c r="C605" t="s">
        <v>349</v>
      </c>
      <c r="D605"/>
      <c r="E605"/>
      <c r="F605"/>
      <c r="G605">
        <v>2.7</v>
      </c>
      <c r="H605" t="s">
        <v>356</v>
      </c>
      <c r="I605" t="s">
        <v>384</v>
      </c>
      <c r="J605">
        <v>220604</v>
      </c>
      <c r="K605" t="s">
        <v>530</v>
      </c>
      <c r="L605" t="s">
        <v>675</v>
      </c>
      <c r="M605" t="s">
        <v>351</v>
      </c>
    </row>
    <row r="606" spans="1:13" x14ac:dyDescent="0.25">
      <c r="A606" t="s">
        <v>355</v>
      </c>
      <c r="B606"/>
      <c r="C606" t="s">
        <v>349</v>
      </c>
      <c r="D606" t="s">
        <v>577</v>
      </c>
      <c r="E606"/>
      <c r="F606"/>
      <c r="G606">
        <v>3.5</v>
      </c>
      <c r="H606" t="s">
        <v>364</v>
      </c>
      <c r="I606" t="s">
        <v>384</v>
      </c>
      <c r="J606">
        <v>220604</v>
      </c>
      <c r="K606" t="s">
        <v>530</v>
      </c>
      <c r="L606" t="s">
        <v>675</v>
      </c>
      <c r="M606" t="s">
        <v>351</v>
      </c>
    </row>
    <row r="607" spans="1:13" x14ac:dyDescent="0.25">
      <c r="A607" t="s">
        <v>483</v>
      </c>
      <c r="B607"/>
      <c r="C607" t="s">
        <v>349</v>
      </c>
      <c r="D607"/>
      <c r="E607"/>
      <c r="F607" t="s">
        <v>473</v>
      </c>
      <c r="G607">
        <v>3.9</v>
      </c>
      <c r="H607" t="s">
        <v>361</v>
      </c>
      <c r="I607" t="s">
        <v>384</v>
      </c>
      <c r="J607">
        <v>220604</v>
      </c>
      <c r="K607" t="s">
        <v>530</v>
      </c>
      <c r="L607" t="s">
        <v>675</v>
      </c>
      <c r="M607" t="s">
        <v>351</v>
      </c>
    </row>
    <row r="608" spans="1:13" x14ac:dyDescent="0.25">
      <c r="A608" t="s">
        <v>447</v>
      </c>
      <c r="B608"/>
      <c r="C608" t="s">
        <v>349</v>
      </c>
      <c r="D608"/>
      <c r="E608"/>
      <c r="F608" t="s">
        <v>443</v>
      </c>
      <c r="G608">
        <v>4.8</v>
      </c>
      <c r="H608" t="s">
        <v>364</v>
      </c>
      <c r="I608" t="s">
        <v>384</v>
      </c>
      <c r="J608">
        <v>220604</v>
      </c>
      <c r="K608" t="s">
        <v>530</v>
      </c>
      <c r="L608" t="s">
        <v>675</v>
      </c>
      <c r="M608" t="s">
        <v>351</v>
      </c>
    </row>
    <row r="609" spans="1:13" x14ac:dyDescent="0.25">
      <c r="A609" t="s">
        <v>371</v>
      </c>
      <c r="B609" t="s">
        <v>442</v>
      </c>
      <c r="C609" t="s">
        <v>349</v>
      </c>
      <c r="D609"/>
      <c r="E609"/>
      <c r="F609" t="s">
        <v>377</v>
      </c>
      <c r="G609">
        <v>6</v>
      </c>
      <c r="H609" t="s">
        <v>356</v>
      </c>
      <c r="I609" t="s">
        <v>384</v>
      </c>
      <c r="J609">
        <v>220604</v>
      </c>
      <c r="K609" t="s">
        <v>530</v>
      </c>
      <c r="L609" t="s">
        <v>675</v>
      </c>
      <c r="M609" t="s">
        <v>351</v>
      </c>
    </row>
    <row r="610" spans="1:13" x14ac:dyDescent="0.25">
      <c r="A610" t="s">
        <v>572</v>
      </c>
      <c r="B610" t="s">
        <v>578</v>
      </c>
      <c r="C610" t="s">
        <v>349</v>
      </c>
      <c r="D610"/>
      <c r="E610"/>
      <c r="F610"/>
      <c r="G610">
        <v>10.5</v>
      </c>
      <c r="H610" t="s">
        <v>356</v>
      </c>
      <c r="I610" t="s">
        <v>384</v>
      </c>
      <c r="J610">
        <v>220604</v>
      </c>
      <c r="K610" t="s">
        <v>530</v>
      </c>
      <c r="L610" t="s">
        <v>675</v>
      </c>
      <c r="M610" t="s">
        <v>351</v>
      </c>
    </row>
    <row r="611" spans="1:13" x14ac:dyDescent="0.25">
      <c r="A611" t="s">
        <v>472</v>
      </c>
      <c r="B611"/>
      <c r="C611" t="s">
        <v>349</v>
      </c>
      <c r="D611"/>
      <c r="E611"/>
      <c r="F611" t="s">
        <v>380</v>
      </c>
      <c r="G611">
        <v>21.6</v>
      </c>
      <c r="H611" t="s">
        <v>368</v>
      </c>
      <c r="I611" t="s">
        <v>384</v>
      </c>
      <c r="J611">
        <v>220604</v>
      </c>
      <c r="K611" t="s">
        <v>530</v>
      </c>
      <c r="L611" t="s">
        <v>675</v>
      </c>
      <c r="M611" t="s">
        <v>351</v>
      </c>
    </row>
    <row r="612" spans="1:13" x14ac:dyDescent="0.25">
      <c r="A612" t="s">
        <v>560</v>
      </c>
      <c r="B612"/>
      <c r="C612" t="s">
        <v>349</v>
      </c>
      <c r="D612" t="s">
        <v>848</v>
      </c>
      <c r="E612"/>
      <c r="F612"/>
      <c r="G612">
        <v>23.3</v>
      </c>
      <c r="H612" t="s">
        <v>356</v>
      </c>
      <c r="I612" t="s">
        <v>384</v>
      </c>
      <c r="J612">
        <v>220604</v>
      </c>
      <c r="K612" t="s">
        <v>530</v>
      </c>
      <c r="L612" t="s">
        <v>675</v>
      </c>
      <c r="M612" t="s">
        <v>351</v>
      </c>
    </row>
    <row r="613" spans="1:13" x14ac:dyDescent="0.25">
      <c r="A613" t="s">
        <v>484</v>
      </c>
      <c r="B613"/>
      <c r="C613" t="s">
        <v>349</v>
      </c>
      <c r="D613"/>
      <c r="E613"/>
      <c r="F613" t="s">
        <v>473</v>
      </c>
      <c r="G613">
        <v>49.4</v>
      </c>
      <c r="H613" t="s">
        <v>364</v>
      </c>
      <c r="I613" t="s">
        <v>384</v>
      </c>
      <c r="J613">
        <v>220604</v>
      </c>
      <c r="K613" t="s">
        <v>530</v>
      </c>
      <c r="L613" t="s">
        <v>675</v>
      </c>
      <c r="M613" t="s">
        <v>351</v>
      </c>
    </row>
    <row r="614" spans="1:13" x14ac:dyDescent="0.25">
      <c r="A614" t="s">
        <v>546</v>
      </c>
      <c r="B614"/>
      <c r="C614" t="s">
        <v>349</v>
      </c>
      <c r="D614"/>
      <c r="E614"/>
      <c r="F614"/>
      <c r="G614">
        <v>58.1</v>
      </c>
      <c r="H614" t="s">
        <v>523</v>
      </c>
      <c r="I614" t="s">
        <v>384</v>
      </c>
      <c r="J614">
        <v>220604</v>
      </c>
      <c r="K614" t="s">
        <v>530</v>
      </c>
      <c r="L614" t="s">
        <v>675</v>
      </c>
      <c r="M614" t="s">
        <v>351</v>
      </c>
    </row>
    <row r="615" spans="1:13" x14ac:dyDescent="0.25">
      <c r="A615" t="s">
        <v>432</v>
      </c>
      <c r="B615"/>
      <c r="C615" t="s">
        <v>349</v>
      </c>
      <c r="D615"/>
      <c r="E615"/>
      <c r="F615"/>
      <c r="G615">
        <v>84.8</v>
      </c>
      <c r="H615" t="s">
        <v>405</v>
      </c>
      <c r="I615" t="s">
        <v>384</v>
      </c>
      <c r="J615">
        <v>220604</v>
      </c>
      <c r="K615" t="s">
        <v>530</v>
      </c>
      <c r="L615" t="s">
        <v>675</v>
      </c>
      <c r="M615" t="s">
        <v>351</v>
      </c>
    </row>
    <row r="616" spans="1:13" x14ac:dyDescent="0.25">
      <c r="A616" t="s">
        <v>568</v>
      </c>
      <c r="B616"/>
      <c r="C616" t="s">
        <v>349</v>
      </c>
      <c r="D616"/>
      <c r="E616"/>
      <c r="F616"/>
      <c r="G616">
        <v>234.9</v>
      </c>
      <c r="H616" t="s">
        <v>404</v>
      </c>
      <c r="I616" t="s">
        <v>384</v>
      </c>
      <c r="J616">
        <v>220604</v>
      </c>
      <c r="K616" t="s">
        <v>530</v>
      </c>
      <c r="L616" t="s">
        <v>675</v>
      </c>
      <c r="M616" t="s">
        <v>351</v>
      </c>
    </row>
    <row r="617" spans="1:13" x14ac:dyDescent="0.25">
      <c r="A617" t="s">
        <v>699</v>
      </c>
      <c r="B617"/>
      <c r="C617" t="s">
        <v>349</v>
      </c>
      <c r="D617"/>
      <c r="E617"/>
      <c r="F617" t="s">
        <v>704</v>
      </c>
      <c r="G617">
        <v>0.2</v>
      </c>
      <c r="H617" t="s">
        <v>356</v>
      </c>
      <c r="I617" t="s">
        <v>705</v>
      </c>
      <c r="J617">
        <v>220606</v>
      </c>
      <c r="K617" t="s">
        <v>706</v>
      </c>
      <c r="L617" t="s">
        <v>707</v>
      </c>
      <c r="M617" t="s">
        <v>351</v>
      </c>
    </row>
    <row r="618" spans="1:13" x14ac:dyDescent="0.25">
      <c r="A618" t="s">
        <v>468</v>
      </c>
      <c r="B618"/>
      <c r="C618" t="s">
        <v>349</v>
      </c>
      <c r="D618"/>
      <c r="E618"/>
      <c r="F618" t="s">
        <v>746</v>
      </c>
      <c r="G618">
        <v>0.6</v>
      </c>
      <c r="H618" t="s">
        <v>356</v>
      </c>
      <c r="I618" t="s">
        <v>705</v>
      </c>
      <c r="J618">
        <v>220606</v>
      </c>
      <c r="K618" t="s">
        <v>706</v>
      </c>
      <c r="L618" t="s">
        <v>707</v>
      </c>
      <c r="M618" t="s">
        <v>351</v>
      </c>
    </row>
    <row r="619" spans="1:13" x14ac:dyDescent="0.25">
      <c r="A619" t="s">
        <v>373</v>
      </c>
      <c r="B619" t="s">
        <v>471</v>
      </c>
      <c r="C619" t="s">
        <v>349</v>
      </c>
      <c r="D619"/>
      <c r="E619"/>
      <c r="F619" t="s">
        <v>724</v>
      </c>
      <c r="G619">
        <v>0.8</v>
      </c>
      <c r="H619" t="s">
        <v>356</v>
      </c>
      <c r="I619" t="s">
        <v>705</v>
      </c>
      <c r="J619">
        <v>220606</v>
      </c>
      <c r="K619" t="s">
        <v>706</v>
      </c>
      <c r="L619" t="s">
        <v>707</v>
      </c>
      <c r="M619" t="s">
        <v>351</v>
      </c>
    </row>
    <row r="620" spans="1:13" x14ac:dyDescent="0.25">
      <c r="A620" t="s">
        <v>413</v>
      </c>
      <c r="B620"/>
      <c r="C620" t="s">
        <v>349</v>
      </c>
      <c r="D620"/>
      <c r="E620"/>
      <c r="F620" t="s">
        <v>418</v>
      </c>
      <c r="G620">
        <v>1</v>
      </c>
      <c r="H620" t="s">
        <v>368</v>
      </c>
      <c r="I620" t="s">
        <v>705</v>
      </c>
      <c r="J620">
        <v>220606</v>
      </c>
      <c r="K620" t="s">
        <v>706</v>
      </c>
      <c r="L620" t="s">
        <v>707</v>
      </c>
      <c r="M620" t="s">
        <v>351</v>
      </c>
    </row>
    <row r="621" spans="1:13" x14ac:dyDescent="0.25">
      <c r="A621" t="s">
        <v>453</v>
      </c>
      <c r="B621" t="s">
        <v>526</v>
      </c>
      <c r="C621" t="s">
        <v>349</v>
      </c>
      <c r="D621"/>
      <c r="E621"/>
      <c r="F621"/>
      <c r="G621">
        <v>1</v>
      </c>
      <c r="H621" t="s">
        <v>356</v>
      </c>
      <c r="I621" t="s">
        <v>705</v>
      </c>
      <c r="J621">
        <v>220606</v>
      </c>
      <c r="K621" t="s">
        <v>706</v>
      </c>
      <c r="L621" t="s">
        <v>707</v>
      </c>
      <c r="M621" t="s">
        <v>351</v>
      </c>
    </row>
    <row r="622" spans="1:13" x14ac:dyDescent="0.25">
      <c r="A622" t="s">
        <v>371</v>
      </c>
      <c r="B622" t="s">
        <v>503</v>
      </c>
      <c r="C622" t="s">
        <v>349</v>
      </c>
      <c r="D622"/>
      <c r="E622"/>
      <c r="F622" t="s">
        <v>738</v>
      </c>
      <c r="G622">
        <v>1</v>
      </c>
      <c r="H622" t="s">
        <v>356</v>
      </c>
      <c r="I622" t="s">
        <v>705</v>
      </c>
      <c r="J622">
        <v>220606</v>
      </c>
      <c r="K622" t="s">
        <v>706</v>
      </c>
      <c r="L622" t="s">
        <v>707</v>
      </c>
      <c r="M622" t="s">
        <v>351</v>
      </c>
    </row>
    <row r="623" spans="1:13" x14ac:dyDescent="0.25">
      <c r="A623" t="s">
        <v>517</v>
      </c>
      <c r="B623"/>
      <c r="C623" t="s">
        <v>349</v>
      </c>
      <c r="D623"/>
      <c r="E623"/>
      <c r="F623"/>
      <c r="G623">
        <v>1</v>
      </c>
      <c r="H623" t="s">
        <v>356</v>
      </c>
      <c r="I623" t="s">
        <v>705</v>
      </c>
      <c r="J623">
        <v>220606</v>
      </c>
      <c r="K623" t="s">
        <v>706</v>
      </c>
      <c r="L623" t="s">
        <v>707</v>
      </c>
      <c r="M623" t="s">
        <v>351</v>
      </c>
    </row>
    <row r="624" spans="1:13" x14ac:dyDescent="0.25">
      <c r="A624" t="s">
        <v>373</v>
      </c>
      <c r="B624" t="s">
        <v>507</v>
      </c>
      <c r="C624" t="s">
        <v>349</v>
      </c>
      <c r="D624"/>
      <c r="E624"/>
      <c r="F624" t="s">
        <v>746</v>
      </c>
      <c r="G624">
        <v>1.1000000000000001</v>
      </c>
      <c r="H624" t="s">
        <v>356</v>
      </c>
      <c r="I624" t="s">
        <v>705</v>
      </c>
      <c r="J624">
        <v>220606</v>
      </c>
      <c r="K624" t="s">
        <v>706</v>
      </c>
      <c r="L624" t="s">
        <v>707</v>
      </c>
      <c r="M624" t="s">
        <v>351</v>
      </c>
    </row>
    <row r="625" spans="1:13" x14ac:dyDescent="0.25">
      <c r="A625" t="s">
        <v>371</v>
      </c>
      <c r="B625" t="s">
        <v>381</v>
      </c>
      <c r="C625" t="s">
        <v>349</v>
      </c>
      <c r="D625"/>
      <c r="E625"/>
      <c r="F625" t="s">
        <v>738</v>
      </c>
      <c r="G625">
        <v>1.1000000000000001</v>
      </c>
      <c r="H625" t="s">
        <v>356</v>
      </c>
      <c r="I625" t="s">
        <v>705</v>
      </c>
      <c r="J625">
        <v>220606</v>
      </c>
      <c r="K625" t="s">
        <v>706</v>
      </c>
      <c r="L625" t="s">
        <v>707</v>
      </c>
      <c r="M625" t="s">
        <v>351</v>
      </c>
    </row>
    <row r="626" spans="1:13" x14ac:dyDescent="0.25">
      <c r="A626" t="s">
        <v>483</v>
      </c>
      <c r="B626"/>
      <c r="C626" t="s">
        <v>349</v>
      </c>
      <c r="D626"/>
      <c r="E626"/>
      <c r="F626" t="s">
        <v>785</v>
      </c>
      <c r="G626">
        <v>1.3</v>
      </c>
      <c r="H626" t="s">
        <v>356</v>
      </c>
      <c r="I626" t="s">
        <v>705</v>
      </c>
      <c r="J626">
        <v>220606</v>
      </c>
      <c r="K626" t="s">
        <v>706</v>
      </c>
      <c r="L626" t="s">
        <v>707</v>
      </c>
      <c r="M626" t="s">
        <v>351</v>
      </c>
    </row>
    <row r="627" spans="1:13" x14ac:dyDescent="0.25">
      <c r="A627" t="s">
        <v>518</v>
      </c>
      <c r="B627"/>
      <c r="C627" t="s">
        <v>349</v>
      </c>
      <c r="D627"/>
      <c r="E627"/>
      <c r="F627" t="s">
        <v>791</v>
      </c>
      <c r="G627">
        <v>1.4</v>
      </c>
      <c r="H627" t="s">
        <v>356</v>
      </c>
      <c r="I627" t="s">
        <v>705</v>
      </c>
      <c r="J627">
        <v>220606</v>
      </c>
      <c r="K627" t="s">
        <v>706</v>
      </c>
      <c r="L627" t="s">
        <v>707</v>
      </c>
      <c r="M627" t="s">
        <v>351</v>
      </c>
    </row>
    <row r="628" spans="1:13" x14ac:dyDescent="0.25">
      <c r="A628" t="s">
        <v>462</v>
      </c>
      <c r="B628" t="s">
        <v>463</v>
      </c>
      <c r="C628" t="s">
        <v>349</v>
      </c>
      <c r="D628"/>
      <c r="E628"/>
      <c r="F628"/>
      <c r="G628">
        <v>1.5</v>
      </c>
      <c r="H628" t="s">
        <v>356</v>
      </c>
      <c r="I628" t="s">
        <v>705</v>
      </c>
      <c r="J628">
        <v>220606</v>
      </c>
      <c r="K628" t="s">
        <v>706</v>
      </c>
      <c r="L628" t="s">
        <v>707</v>
      </c>
      <c r="M628" t="s">
        <v>351</v>
      </c>
    </row>
    <row r="629" spans="1:13" x14ac:dyDescent="0.25">
      <c r="A629" t="s">
        <v>517</v>
      </c>
      <c r="B629"/>
      <c r="C629" t="s">
        <v>349</v>
      </c>
      <c r="D629"/>
      <c r="E629"/>
      <c r="F629"/>
      <c r="G629">
        <v>1.5</v>
      </c>
      <c r="H629" t="s">
        <v>356</v>
      </c>
      <c r="I629" t="s">
        <v>705</v>
      </c>
      <c r="J629">
        <v>220606</v>
      </c>
      <c r="K629" t="s">
        <v>706</v>
      </c>
      <c r="L629" t="s">
        <v>707</v>
      </c>
      <c r="M629" t="s">
        <v>351</v>
      </c>
    </row>
    <row r="630" spans="1:13" x14ac:dyDescent="0.25">
      <c r="A630" t="s">
        <v>420</v>
      </c>
      <c r="B630"/>
      <c r="C630" t="s">
        <v>349</v>
      </c>
      <c r="D630"/>
      <c r="E630"/>
      <c r="F630" t="s">
        <v>794</v>
      </c>
      <c r="G630">
        <v>1.6</v>
      </c>
      <c r="H630" t="s">
        <v>364</v>
      </c>
      <c r="I630" t="s">
        <v>705</v>
      </c>
      <c r="J630">
        <v>220606</v>
      </c>
      <c r="K630" t="s">
        <v>706</v>
      </c>
      <c r="L630" t="s">
        <v>707</v>
      </c>
      <c r="M630" t="s">
        <v>351</v>
      </c>
    </row>
    <row r="631" spans="1:13" x14ac:dyDescent="0.25">
      <c r="A631" t="s">
        <v>355</v>
      </c>
      <c r="B631"/>
      <c r="C631" t="s">
        <v>349</v>
      </c>
      <c r="D631" t="s">
        <v>577</v>
      </c>
      <c r="E631"/>
      <c r="F631"/>
      <c r="G631">
        <v>1.8</v>
      </c>
      <c r="H631" t="s">
        <v>356</v>
      </c>
      <c r="I631" t="s">
        <v>705</v>
      </c>
      <c r="J631">
        <v>220606</v>
      </c>
      <c r="K631" t="s">
        <v>706</v>
      </c>
      <c r="L631" t="s">
        <v>707</v>
      </c>
      <c r="M631" t="s">
        <v>351</v>
      </c>
    </row>
    <row r="632" spans="1:13" x14ac:dyDescent="0.25">
      <c r="A632" t="s">
        <v>444</v>
      </c>
      <c r="B632"/>
      <c r="C632" t="s">
        <v>349</v>
      </c>
      <c r="D632"/>
      <c r="E632"/>
      <c r="F632" t="s">
        <v>641</v>
      </c>
      <c r="G632">
        <v>2</v>
      </c>
      <c r="H632" t="s">
        <v>356</v>
      </c>
      <c r="I632" t="s">
        <v>705</v>
      </c>
      <c r="J632">
        <v>220606</v>
      </c>
      <c r="K632" t="s">
        <v>706</v>
      </c>
      <c r="L632" t="s">
        <v>707</v>
      </c>
      <c r="M632" t="s">
        <v>351</v>
      </c>
    </row>
    <row r="633" spans="1:13" x14ac:dyDescent="0.25">
      <c r="A633" t="s">
        <v>387</v>
      </c>
      <c r="B633" t="s">
        <v>533</v>
      </c>
      <c r="C633" t="s">
        <v>349</v>
      </c>
      <c r="D633"/>
      <c r="E633"/>
      <c r="F633"/>
      <c r="G633">
        <v>2</v>
      </c>
      <c r="H633" t="s">
        <v>356</v>
      </c>
      <c r="I633" t="s">
        <v>705</v>
      </c>
      <c r="J633">
        <v>220606</v>
      </c>
      <c r="K633" t="s">
        <v>706</v>
      </c>
      <c r="L633" t="s">
        <v>707</v>
      </c>
      <c r="M633" t="s">
        <v>351</v>
      </c>
    </row>
    <row r="634" spans="1:13" x14ac:dyDescent="0.25">
      <c r="A634" t="s">
        <v>387</v>
      </c>
      <c r="B634" t="s">
        <v>467</v>
      </c>
      <c r="C634" t="s">
        <v>349</v>
      </c>
      <c r="D634"/>
      <c r="E634"/>
      <c r="F634"/>
      <c r="G634">
        <v>4.3</v>
      </c>
      <c r="H634" t="s">
        <v>364</v>
      </c>
      <c r="I634" t="s">
        <v>705</v>
      </c>
      <c r="J634">
        <v>220606</v>
      </c>
      <c r="K634" t="s">
        <v>706</v>
      </c>
      <c r="L634" t="s">
        <v>707</v>
      </c>
      <c r="M634" t="s">
        <v>351</v>
      </c>
    </row>
    <row r="635" spans="1:13" x14ac:dyDescent="0.25">
      <c r="A635" t="s">
        <v>484</v>
      </c>
      <c r="B635"/>
      <c r="C635" t="s">
        <v>349</v>
      </c>
      <c r="D635"/>
      <c r="E635"/>
      <c r="F635" t="s">
        <v>827</v>
      </c>
      <c r="G635">
        <v>4.4000000000000004</v>
      </c>
      <c r="H635" t="s">
        <v>356</v>
      </c>
      <c r="I635" t="s">
        <v>705</v>
      </c>
      <c r="J635">
        <v>220606</v>
      </c>
      <c r="K635" t="s">
        <v>706</v>
      </c>
      <c r="L635" t="s">
        <v>707</v>
      </c>
      <c r="M635" t="s">
        <v>351</v>
      </c>
    </row>
    <row r="636" spans="1:13" x14ac:dyDescent="0.25">
      <c r="A636" t="s">
        <v>465</v>
      </c>
      <c r="B636" t="s">
        <v>529</v>
      </c>
      <c r="C636" t="s">
        <v>349</v>
      </c>
      <c r="D636"/>
      <c r="E636"/>
      <c r="F636" t="s">
        <v>744</v>
      </c>
      <c r="G636">
        <v>5.0999999999999996</v>
      </c>
      <c r="H636" t="s">
        <v>367</v>
      </c>
      <c r="I636" t="s">
        <v>705</v>
      </c>
      <c r="J636">
        <v>220606</v>
      </c>
      <c r="K636" t="s">
        <v>706</v>
      </c>
      <c r="L636" t="s">
        <v>707</v>
      </c>
      <c r="M636" t="s">
        <v>351</v>
      </c>
    </row>
    <row r="637" spans="1:13" x14ac:dyDescent="0.25">
      <c r="A637" t="s">
        <v>498</v>
      </c>
      <c r="B637"/>
      <c r="C637" t="s">
        <v>349</v>
      </c>
      <c r="D637"/>
      <c r="E637"/>
      <c r="F637" t="s">
        <v>871</v>
      </c>
      <c r="G637">
        <v>10.4</v>
      </c>
      <c r="H637" t="s">
        <v>361</v>
      </c>
      <c r="I637" t="s">
        <v>705</v>
      </c>
      <c r="J637">
        <v>220606</v>
      </c>
      <c r="K637" t="s">
        <v>706</v>
      </c>
      <c r="L637" t="s">
        <v>707</v>
      </c>
      <c r="M637" t="s">
        <v>351</v>
      </c>
    </row>
    <row r="638" spans="1:13" x14ac:dyDescent="0.25">
      <c r="A638" t="s">
        <v>579</v>
      </c>
      <c r="B638" t="s">
        <v>582</v>
      </c>
      <c r="C638" t="s">
        <v>349</v>
      </c>
      <c r="D638"/>
      <c r="E638"/>
      <c r="F638"/>
      <c r="G638">
        <v>22.2</v>
      </c>
      <c r="H638" t="s">
        <v>356</v>
      </c>
      <c r="I638" t="s">
        <v>705</v>
      </c>
      <c r="J638">
        <v>220606</v>
      </c>
      <c r="K638" t="s">
        <v>706</v>
      </c>
      <c r="L638" t="s">
        <v>707</v>
      </c>
      <c r="M638" t="s">
        <v>351</v>
      </c>
    </row>
    <row r="639" spans="1:13" x14ac:dyDescent="0.25">
      <c r="A639" t="s">
        <v>462</v>
      </c>
      <c r="B639" t="s">
        <v>449</v>
      </c>
      <c r="C639" t="s">
        <v>349</v>
      </c>
      <c r="D639"/>
      <c r="E639"/>
      <c r="F639"/>
      <c r="G639">
        <v>38.200000000000003</v>
      </c>
      <c r="H639" t="s">
        <v>356</v>
      </c>
      <c r="I639" t="s">
        <v>705</v>
      </c>
      <c r="J639">
        <v>220606</v>
      </c>
      <c r="K639" t="s">
        <v>706</v>
      </c>
      <c r="L639" t="s">
        <v>707</v>
      </c>
      <c r="M639" t="s">
        <v>351</v>
      </c>
    </row>
    <row r="640" spans="1:13" x14ac:dyDescent="0.25">
      <c r="A640" t="s">
        <v>546</v>
      </c>
      <c r="B640"/>
      <c r="C640" t="s">
        <v>349</v>
      </c>
      <c r="D640"/>
      <c r="E640"/>
      <c r="F640"/>
      <c r="G640">
        <v>48.3</v>
      </c>
      <c r="H640" t="s">
        <v>404</v>
      </c>
      <c r="I640" t="s">
        <v>705</v>
      </c>
      <c r="J640">
        <v>220606</v>
      </c>
      <c r="K640" t="s">
        <v>706</v>
      </c>
      <c r="L640" t="s">
        <v>707</v>
      </c>
      <c r="M640" t="s">
        <v>351</v>
      </c>
    </row>
    <row r="641" spans="1:13" x14ac:dyDescent="0.25">
      <c r="A641" t="s">
        <v>472</v>
      </c>
      <c r="B641"/>
      <c r="C641" t="s">
        <v>349</v>
      </c>
      <c r="D641"/>
      <c r="E641"/>
      <c r="F641" t="s">
        <v>937</v>
      </c>
      <c r="G641">
        <v>52.8</v>
      </c>
      <c r="H641" t="s">
        <v>367</v>
      </c>
      <c r="I641" t="s">
        <v>705</v>
      </c>
      <c r="J641">
        <v>220606</v>
      </c>
      <c r="K641" t="s">
        <v>706</v>
      </c>
      <c r="L641" t="s">
        <v>707</v>
      </c>
      <c r="M641" t="s">
        <v>351</v>
      </c>
    </row>
    <row r="642" spans="1:13" x14ac:dyDescent="0.25">
      <c r="A642" t="s">
        <v>432</v>
      </c>
      <c r="B642"/>
      <c r="C642" t="s">
        <v>349</v>
      </c>
      <c r="D642"/>
      <c r="E642"/>
      <c r="F642"/>
      <c r="G642">
        <v>70.7</v>
      </c>
      <c r="H642" t="s">
        <v>403</v>
      </c>
      <c r="I642" t="s">
        <v>705</v>
      </c>
      <c r="J642">
        <v>220606</v>
      </c>
      <c r="K642" t="s">
        <v>706</v>
      </c>
      <c r="L642" t="s">
        <v>707</v>
      </c>
      <c r="M642" t="s">
        <v>351</v>
      </c>
    </row>
    <row r="643" spans="1:13" x14ac:dyDescent="0.25">
      <c r="A643" t="s">
        <v>568</v>
      </c>
      <c r="B643"/>
      <c r="C643" t="s">
        <v>349</v>
      </c>
      <c r="D643"/>
      <c r="E643"/>
      <c r="F643"/>
      <c r="G643">
        <v>221.4</v>
      </c>
      <c r="H643" t="s">
        <v>361</v>
      </c>
      <c r="I643" t="s">
        <v>705</v>
      </c>
      <c r="J643">
        <v>220606</v>
      </c>
      <c r="K643" t="s">
        <v>706</v>
      </c>
      <c r="L643" t="s">
        <v>707</v>
      </c>
      <c r="M643" t="s">
        <v>351</v>
      </c>
    </row>
    <row r="644" spans="1:13" x14ac:dyDescent="0.25">
      <c r="A644" s="30" t="s">
        <v>355</v>
      </c>
      <c r="B644"/>
      <c r="C644"/>
      <c r="D644"/>
      <c r="E644"/>
      <c r="F644"/>
      <c r="G644">
        <v>5.0039999999999996</v>
      </c>
      <c r="H644" t="s">
        <v>356</v>
      </c>
      <c r="I644" t="s">
        <v>362</v>
      </c>
      <c r="J644">
        <v>220782</v>
      </c>
      <c r="K644" t="s">
        <v>693</v>
      </c>
      <c r="L644" t="s">
        <v>694</v>
      </c>
      <c r="M644" t="s">
        <v>351</v>
      </c>
    </row>
    <row r="645" spans="1:13" x14ac:dyDescent="0.25">
      <c r="A645" s="30" t="s">
        <v>558</v>
      </c>
      <c r="B645"/>
      <c r="C645" t="s">
        <v>349</v>
      </c>
      <c r="D645"/>
      <c r="E645"/>
      <c r="F645"/>
      <c r="G645">
        <v>5.0039999999999996</v>
      </c>
      <c r="H645" t="s">
        <v>356</v>
      </c>
      <c r="I645" t="s">
        <v>362</v>
      </c>
      <c r="J645">
        <v>220782</v>
      </c>
      <c r="K645" t="s">
        <v>693</v>
      </c>
      <c r="L645" t="s">
        <v>694</v>
      </c>
      <c r="M645" t="s">
        <v>351</v>
      </c>
    </row>
    <row r="646" spans="1:13" x14ac:dyDescent="0.25">
      <c r="A646" s="30" t="s">
        <v>432</v>
      </c>
      <c r="B646"/>
      <c r="C646"/>
      <c r="D646"/>
      <c r="E646"/>
      <c r="F646"/>
      <c r="G646">
        <v>50</v>
      </c>
      <c r="H646" t="s">
        <v>401</v>
      </c>
      <c r="I646" t="s">
        <v>695</v>
      </c>
      <c r="J646">
        <v>220782</v>
      </c>
      <c r="K646" t="s">
        <v>693</v>
      </c>
      <c r="L646" t="s">
        <v>694</v>
      </c>
      <c r="M646" t="s">
        <v>351</v>
      </c>
    </row>
    <row r="647" spans="1:13" x14ac:dyDescent="0.25">
      <c r="A647" s="30" t="s">
        <v>432</v>
      </c>
      <c r="B647"/>
      <c r="C647"/>
      <c r="D647"/>
      <c r="E647"/>
      <c r="F647"/>
      <c r="G647">
        <v>50</v>
      </c>
      <c r="H647" t="s">
        <v>637</v>
      </c>
      <c r="I647" t="s">
        <v>695</v>
      </c>
      <c r="J647">
        <v>220782</v>
      </c>
      <c r="K647" t="s">
        <v>693</v>
      </c>
      <c r="L647" t="s">
        <v>694</v>
      </c>
      <c r="M647" t="s">
        <v>351</v>
      </c>
    </row>
    <row r="648" spans="1:13" x14ac:dyDescent="0.25">
      <c r="A648" t="s">
        <v>360</v>
      </c>
      <c r="B648"/>
      <c r="C648"/>
      <c r="D648"/>
      <c r="E648"/>
      <c r="F648"/>
      <c r="G648">
        <v>5.0039999999999996</v>
      </c>
      <c r="H648" t="s">
        <v>364</v>
      </c>
      <c r="I648" t="s">
        <v>362</v>
      </c>
      <c r="J648">
        <v>220782</v>
      </c>
      <c r="K648" t="s">
        <v>693</v>
      </c>
      <c r="L648" t="s">
        <v>694</v>
      </c>
      <c r="M648" t="s">
        <v>351</v>
      </c>
    </row>
    <row r="649" spans="1:13" x14ac:dyDescent="0.25">
      <c r="A649" s="30" t="s">
        <v>363</v>
      </c>
      <c r="B649" t="s">
        <v>392</v>
      </c>
      <c r="C649"/>
      <c r="D649"/>
      <c r="E649"/>
      <c r="F649"/>
      <c r="G649">
        <v>5.0039999999999996</v>
      </c>
      <c r="H649" t="s">
        <v>367</v>
      </c>
      <c r="I649" t="s">
        <v>362</v>
      </c>
      <c r="J649">
        <v>220782</v>
      </c>
      <c r="K649" t="s">
        <v>693</v>
      </c>
      <c r="L649" t="s">
        <v>694</v>
      </c>
      <c r="M649" t="s">
        <v>351</v>
      </c>
    </row>
    <row r="650" spans="1:13" x14ac:dyDescent="0.25">
      <c r="A650" t="s">
        <v>396</v>
      </c>
      <c r="B650"/>
      <c r="C650"/>
      <c r="D650"/>
      <c r="E650"/>
      <c r="F650"/>
      <c r="G650">
        <v>10.007999999999999</v>
      </c>
      <c r="H650" t="s">
        <v>367</v>
      </c>
      <c r="I650" t="s">
        <v>362</v>
      </c>
      <c r="J650">
        <v>220782</v>
      </c>
      <c r="K650" t="s">
        <v>693</v>
      </c>
      <c r="L650" t="s">
        <v>694</v>
      </c>
      <c r="M650" t="s">
        <v>351</v>
      </c>
    </row>
    <row r="651" spans="1:13" x14ac:dyDescent="0.25">
      <c r="A651" t="s">
        <v>396</v>
      </c>
      <c r="B651"/>
      <c r="C651"/>
      <c r="D651"/>
      <c r="E651"/>
      <c r="F651"/>
      <c r="G651">
        <v>10.007999999999999</v>
      </c>
      <c r="H651" t="s">
        <v>367</v>
      </c>
      <c r="I651" t="s">
        <v>362</v>
      </c>
      <c r="J651">
        <v>220782</v>
      </c>
      <c r="K651" t="s">
        <v>693</v>
      </c>
      <c r="L651" t="s">
        <v>694</v>
      </c>
      <c r="M651" t="s">
        <v>351</v>
      </c>
    </row>
    <row r="652" spans="1:13" x14ac:dyDescent="0.25">
      <c r="A652" t="s">
        <v>353</v>
      </c>
      <c r="B652"/>
      <c r="C652"/>
      <c r="D652"/>
      <c r="E652"/>
      <c r="F652"/>
      <c r="G652">
        <v>10.007999999999999</v>
      </c>
      <c r="H652" t="s">
        <v>368</v>
      </c>
      <c r="I652" t="s">
        <v>362</v>
      </c>
      <c r="J652">
        <v>220782</v>
      </c>
      <c r="K652" t="s">
        <v>693</v>
      </c>
      <c r="L652" t="s">
        <v>694</v>
      </c>
      <c r="M652" t="s">
        <v>351</v>
      </c>
    </row>
    <row r="653" spans="1:13" x14ac:dyDescent="0.25">
      <c r="A653" t="s">
        <v>552</v>
      </c>
      <c r="B653"/>
      <c r="C653" t="s">
        <v>349</v>
      </c>
      <c r="D653"/>
      <c r="E653"/>
      <c r="F653" t="s">
        <v>374</v>
      </c>
      <c r="G653">
        <v>0.99199999999999999</v>
      </c>
      <c r="H653" t="s">
        <v>356</v>
      </c>
      <c r="I653" t="s">
        <v>362</v>
      </c>
      <c r="J653">
        <v>220782</v>
      </c>
      <c r="K653" t="s">
        <v>693</v>
      </c>
      <c r="L653" t="s">
        <v>694</v>
      </c>
      <c r="M653" t="s">
        <v>351</v>
      </c>
    </row>
    <row r="654" spans="1:13" x14ac:dyDescent="0.25">
      <c r="A654" t="s">
        <v>542</v>
      </c>
      <c r="B654"/>
      <c r="C654" t="s">
        <v>349</v>
      </c>
      <c r="D654"/>
      <c r="E654"/>
      <c r="F654" t="s">
        <v>433</v>
      </c>
      <c r="G654">
        <v>0.99199999999999999</v>
      </c>
      <c r="H654" t="s">
        <v>364</v>
      </c>
      <c r="I654" t="s">
        <v>362</v>
      </c>
      <c r="J654">
        <v>220782</v>
      </c>
      <c r="K654" t="s">
        <v>693</v>
      </c>
      <c r="L654" t="s">
        <v>694</v>
      </c>
      <c r="M654" t="s">
        <v>351</v>
      </c>
    </row>
    <row r="655" spans="1:13" x14ac:dyDescent="0.25">
      <c r="A655" t="s">
        <v>397</v>
      </c>
      <c r="B655"/>
      <c r="C655" t="s">
        <v>349</v>
      </c>
      <c r="D655"/>
      <c r="E655"/>
      <c r="F655" t="s">
        <v>499</v>
      </c>
      <c r="G655">
        <v>2.0059999999999998</v>
      </c>
      <c r="H655" t="s">
        <v>364</v>
      </c>
      <c r="I655" t="s">
        <v>362</v>
      </c>
      <c r="J655">
        <v>220782</v>
      </c>
      <c r="K655" t="s">
        <v>693</v>
      </c>
      <c r="L655" t="s">
        <v>694</v>
      </c>
      <c r="M655" t="s">
        <v>351</v>
      </c>
    </row>
    <row r="656" spans="1:13" x14ac:dyDescent="0.25">
      <c r="A656" t="s">
        <v>435</v>
      </c>
      <c r="B656" t="s">
        <v>813</v>
      </c>
      <c r="C656" t="s">
        <v>349</v>
      </c>
      <c r="D656"/>
      <c r="E656"/>
      <c r="F656"/>
      <c r="G656">
        <v>2.9980000000000002</v>
      </c>
      <c r="H656" t="s">
        <v>356</v>
      </c>
      <c r="I656" t="s">
        <v>814</v>
      </c>
      <c r="J656">
        <v>220782</v>
      </c>
      <c r="K656" t="s">
        <v>693</v>
      </c>
      <c r="L656" t="s">
        <v>694</v>
      </c>
      <c r="M656" t="s">
        <v>351</v>
      </c>
    </row>
    <row r="657" spans="1:13" x14ac:dyDescent="0.25">
      <c r="A657" t="s">
        <v>558</v>
      </c>
      <c r="B657"/>
      <c r="C657" t="s">
        <v>349</v>
      </c>
      <c r="D657"/>
      <c r="E657"/>
      <c r="F657"/>
      <c r="G657">
        <v>5.0039999999999996</v>
      </c>
      <c r="H657" t="s">
        <v>356</v>
      </c>
      <c r="I657" t="s">
        <v>362</v>
      </c>
      <c r="J657">
        <v>220782</v>
      </c>
      <c r="K657" t="s">
        <v>693</v>
      </c>
      <c r="L657" t="s">
        <v>694</v>
      </c>
      <c r="M657" t="s">
        <v>351</v>
      </c>
    </row>
    <row r="658" spans="1:13" x14ac:dyDescent="0.25">
      <c r="A658" t="s">
        <v>371</v>
      </c>
      <c r="B658" t="s">
        <v>492</v>
      </c>
      <c r="C658" t="s">
        <v>349</v>
      </c>
      <c r="D658"/>
      <c r="E658"/>
      <c r="F658" t="s">
        <v>377</v>
      </c>
      <c r="G658">
        <v>5.0039999999999996</v>
      </c>
      <c r="H658" t="s">
        <v>364</v>
      </c>
      <c r="I658" t="s">
        <v>362</v>
      </c>
      <c r="J658">
        <v>220782</v>
      </c>
      <c r="K658" t="s">
        <v>693</v>
      </c>
      <c r="L658" t="s">
        <v>694</v>
      </c>
      <c r="M658" t="s">
        <v>351</v>
      </c>
    </row>
    <row r="659" spans="1:13" x14ac:dyDescent="0.25">
      <c r="A659" t="s">
        <v>371</v>
      </c>
      <c r="B659" t="s">
        <v>492</v>
      </c>
      <c r="C659" t="s">
        <v>349</v>
      </c>
      <c r="D659"/>
      <c r="E659"/>
      <c r="F659" t="s">
        <v>377</v>
      </c>
      <c r="G659">
        <v>5.0039999999999996</v>
      </c>
      <c r="H659" t="s">
        <v>364</v>
      </c>
      <c r="I659" t="s">
        <v>362</v>
      </c>
      <c r="J659">
        <v>220782</v>
      </c>
      <c r="K659" t="s">
        <v>693</v>
      </c>
      <c r="L659" t="s">
        <v>694</v>
      </c>
      <c r="M659" t="s">
        <v>351</v>
      </c>
    </row>
    <row r="660" spans="1:13" x14ac:dyDescent="0.25">
      <c r="A660" t="s">
        <v>539</v>
      </c>
      <c r="B660" t="s">
        <v>566</v>
      </c>
      <c r="C660" t="s">
        <v>349</v>
      </c>
      <c r="D660"/>
      <c r="E660"/>
      <c r="F660"/>
      <c r="G660">
        <v>5.0039999999999996</v>
      </c>
      <c r="H660" t="s">
        <v>364</v>
      </c>
      <c r="I660" t="s">
        <v>362</v>
      </c>
      <c r="J660">
        <v>220782</v>
      </c>
      <c r="K660" t="s">
        <v>693</v>
      </c>
      <c r="L660" t="s">
        <v>694</v>
      </c>
      <c r="M660" t="s">
        <v>351</v>
      </c>
    </row>
    <row r="661" spans="1:13" x14ac:dyDescent="0.25">
      <c r="A661" t="s">
        <v>560</v>
      </c>
      <c r="B661"/>
      <c r="C661" t="s">
        <v>349</v>
      </c>
      <c r="D661"/>
      <c r="E661"/>
      <c r="F661"/>
      <c r="G661">
        <v>5.0039999999999996</v>
      </c>
      <c r="H661" t="s">
        <v>356</v>
      </c>
      <c r="I661" t="s">
        <v>362</v>
      </c>
      <c r="J661">
        <v>220782</v>
      </c>
      <c r="K661" t="s">
        <v>693</v>
      </c>
      <c r="L661" t="s">
        <v>694</v>
      </c>
      <c r="M661" t="s">
        <v>351</v>
      </c>
    </row>
    <row r="662" spans="1:13" x14ac:dyDescent="0.25">
      <c r="A662" t="s">
        <v>497</v>
      </c>
      <c r="B662"/>
      <c r="C662" t="s">
        <v>349</v>
      </c>
      <c r="D662"/>
      <c r="E662"/>
      <c r="F662" t="s">
        <v>374</v>
      </c>
      <c r="G662">
        <v>5.0039999999999996</v>
      </c>
      <c r="H662" t="s">
        <v>367</v>
      </c>
      <c r="I662" t="s">
        <v>362</v>
      </c>
      <c r="J662">
        <v>220782</v>
      </c>
      <c r="K662" t="s">
        <v>693</v>
      </c>
      <c r="L662" t="s">
        <v>694</v>
      </c>
      <c r="M662" t="s">
        <v>351</v>
      </c>
    </row>
    <row r="663" spans="1:13" x14ac:dyDescent="0.25">
      <c r="A663" t="s">
        <v>497</v>
      </c>
      <c r="B663"/>
      <c r="C663" t="s">
        <v>349</v>
      </c>
      <c r="D663"/>
      <c r="E663"/>
      <c r="F663" t="s">
        <v>374</v>
      </c>
      <c r="G663">
        <v>5.0039999999999996</v>
      </c>
      <c r="H663" t="s">
        <v>367</v>
      </c>
      <c r="I663" t="s">
        <v>362</v>
      </c>
      <c r="J663">
        <v>220782</v>
      </c>
      <c r="K663" t="s">
        <v>693</v>
      </c>
      <c r="L663" t="s">
        <v>694</v>
      </c>
      <c r="M663" t="s">
        <v>351</v>
      </c>
    </row>
    <row r="664" spans="1:13" x14ac:dyDescent="0.25">
      <c r="A664" t="s">
        <v>385</v>
      </c>
      <c r="B664" t="s">
        <v>855</v>
      </c>
      <c r="C664" t="s">
        <v>349</v>
      </c>
      <c r="D664"/>
      <c r="E664"/>
      <c r="F664"/>
      <c r="G664">
        <v>8.0020000000000007</v>
      </c>
      <c r="H664" t="s">
        <v>364</v>
      </c>
      <c r="I664" t="s">
        <v>362</v>
      </c>
      <c r="J664">
        <v>220782</v>
      </c>
      <c r="K664" t="s">
        <v>693</v>
      </c>
      <c r="L664" t="s">
        <v>694</v>
      </c>
      <c r="M664" t="s">
        <v>351</v>
      </c>
    </row>
    <row r="665" spans="1:13" x14ac:dyDescent="0.25">
      <c r="A665" t="s">
        <v>495</v>
      </c>
      <c r="B665" t="s">
        <v>496</v>
      </c>
      <c r="C665" t="s">
        <v>349</v>
      </c>
      <c r="D665"/>
      <c r="E665"/>
      <c r="F665"/>
      <c r="G665">
        <v>10.007999999999999</v>
      </c>
      <c r="H665" t="s">
        <v>393</v>
      </c>
      <c r="I665" t="s">
        <v>362</v>
      </c>
      <c r="J665">
        <v>220782</v>
      </c>
      <c r="K665" t="s">
        <v>693</v>
      </c>
      <c r="L665" t="s">
        <v>694</v>
      </c>
      <c r="M665" t="s">
        <v>351</v>
      </c>
    </row>
    <row r="666" spans="1:13" x14ac:dyDescent="0.25">
      <c r="A666" t="s">
        <v>495</v>
      </c>
      <c r="B666" t="s">
        <v>496</v>
      </c>
      <c r="C666" t="s">
        <v>349</v>
      </c>
      <c r="D666"/>
      <c r="E666"/>
      <c r="F666"/>
      <c r="G666">
        <v>10.007999999999999</v>
      </c>
      <c r="H666" t="s">
        <v>393</v>
      </c>
      <c r="I666" t="s">
        <v>362</v>
      </c>
      <c r="J666">
        <v>220782</v>
      </c>
      <c r="K666" t="s">
        <v>693</v>
      </c>
      <c r="L666" t="s">
        <v>694</v>
      </c>
      <c r="M666" t="s">
        <v>351</v>
      </c>
    </row>
    <row r="667" spans="1:13" x14ac:dyDescent="0.25">
      <c r="A667" t="s">
        <v>462</v>
      </c>
      <c r="B667" t="s">
        <v>574</v>
      </c>
      <c r="C667" t="s">
        <v>349</v>
      </c>
      <c r="D667"/>
      <c r="E667"/>
      <c r="F667"/>
      <c r="G667">
        <v>11.993</v>
      </c>
      <c r="H667" t="s">
        <v>356</v>
      </c>
      <c r="I667" t="s">
        <v>362</v>
      </c>
      <c r="J667">
        <v>220782</v>
      </c>
      <c r="K667" t="s">
        <v>693</v>
      </c>
      <c r="L667" t="s">
        <v>694</v>
      </c>
      <c r="M667" t="s">
        <v>351</v>
      </c>
    </row>
    <row r="668" spans="1:13" x14ac:dyDescent="0.25">
      <c r="A668" t="s">
        <v>490</v>
      </c>
      <c r="B668"/>
      <c r="C668" t="s">
        <v>349</v>
      </c>
      <c r="D668"/>
      <c r="E668"/>
      <c r="F668" t="s">
        <v>380</v>
      </c>
      <c r="G668">
        <v>14.991</v>
      </c>
      <c r="H668" t="s">
        <v>393</v>
      </c>
      <c r="I668" t="s">
        <v>362</v>
      </c>
      <c r="J668">
        <v>220782</v>
      </c>
      <c r="K668" t="s">
        <v>693</v>
      </c>
      <c r="L668" t="s">
        <v>694</v>
      </c>
      <c r="M668" t="s">
        <v>351</v>
      </c>
    </row>
    <row r="669" spans="1:13" x14ac:dyDescent="0.25">
      <c r="A669" t="s">
        <v>363</v>
      </c>
      <c r="B669" t="s">
        <v>1059</v>
      </c>
      <c r="C669"/>
      <c r="D669"/>
      <c r="E669"/>
      <c r="F669"/>
      <c r="G669">
        <v>11.023</v>
      </c>
      <c r="H669" t="s">
        <v>369</v>
      </c>
      <c r="I669" t="s">
        <v>1060</v>
      </c>
      <c r="J669">
        <v>220982</v>
      </c>
      <c r="K669" t="s">
        <v>1061</v>
      </c>
      <c r="L669" t="s">
        <v>1062</v>
      </c>
      <c r="M669" t="s">
        <v>351</v>
      </c>
    </row>
    <row r="670" spans="1:13" x14ac:dyDescent="0.25">
      <c r="A670" t="s">
        <v>458</v>
      </c>
      <c r="B670"/>
      <c r="C670" t="s">
        <v>349</v>
      </c>
      <c r="D670"/>
      <c r="E670"/>
      <c r="F670" t="s">
        <v>500</v>
      </c>
      <c r="G670">
        <v>11</v>
      </c>
      <c r="H670" t="s">
        <v>356</v>
      </c>
      <c r="I670" t="s">
        <v>358</v>
      </c>
      <c r="J670">
        <v>220984</v>
      </c>
      <c r="K670" t="s">
        <v>874</v>
      </c>
      <c r="L670" t="s">
        <v>774</v>
      </c>
      <c r="M670" t="s">
        <v>351</v>
      </c>
    </row>
    <row r="671" spans="1:13" x14ac:dyDescent="0.25">
      <c r="A671" t="s">
        <v>510</v>
      </c>
      <c r="B671"/>
      <c r="C671" t="s">
        <v>349</v>
      </c>
      <c r="D671"/>
      <c r="E671"/>
      <c r="F671" t="s">
        <v>500</v>
      </c>
      <c r="G671">
        <v>22</v>
      </c>
      <c r="H671" t="s">
        <v>364</v>
      </c>
      <c r="I671" t="s">
        <v>358</v>
      </c>
      <c r="J671">
        <v>220984</v>
      </c>
      <c r="K671" t="s">
        <v>874</v>
      </c>
      <c r="L671" t="s">
        <v>774</v>
      </c>
      <c r="M671" t="s">
        <v>351</v>
      </c>
    </row>
    <row r="672" spans="1:13" x14ac:dyDescent="0.25">
      <c r="A672" t="s">
        <v>549</v>
      </c>
      <c r="B672"/>
      <c r="C672" t="s">
        <v>349</v>
      </c>
      <c r="D672"/>
      <c r="E672"/>
      <c r="F672"/>
      <c r="G672">
        <v>22</v>
      </c>
      <c r="H672" t="s">
        <v>356</v>
      </c>
      <c r="I672" t="s">
        <v>358</v>
      </c>
      <c r="J672">
        <v>220984</v>
      </c>
      <c r="K672" t="s">
        <v>874</v>
      </c>
      <c r="L672" t="s">
        <v>774</v>
      </c>
      <c r="M672" t="s">
        <v>351</v>
      </c>
    </row>
    <row r="673" spans="1:13" x14ac:dyDescent="0.25">
      <c r="A673" t="s">
        <v>432</v>
      </c>
      <c r="B673"/>
      <c r="C673" t="s">
        <v>349</v>
      </c>
      <c r="D673"/>
      <c r="E673"/>
      <c r="F673"/>
      <c r="G673">
        <v>26</v>
      </c>
      <c r="H673" t="s">
        <v>367</v>
      </c>
      <c r="I673" t="s">
        <v>358</v>
      </c>
      <c r="J673">
        <v>220984</v>
      </c>
      <c r="K673" t="s">
        <v>874</v>
      </c>
      <c r="L673" t="s">
        <v>774</v>
      </c>
      <c r="M673" t="s">
        <v>351</v>
      </c>
    </row>
    <row r="674" spans="1:13" x14ac:dyDescent="0.25">
      <c r="A674" t="s">
        <v>576</v>
      </c>
      <c r="B674"/>
      <c r="C674" t="s">
        <v>349</v>
      </c>
      <c r="D674"/>
      <c r="E674"/>
      <c r="F674"/>
      <c r="G674">
        <v>175</v>
      </c>
      <c r="H674" t="s">
        <v>369</v>
      </c>
      <c r="I674" t="s">
        <v>978</v>
      </c>
      <c r="J674">
        <v>220984</v>
      </c>
      <c r="K674" t="s">
        <v>874</v>
      </c>
      <c r="L674" t="s">
        <v>774</v>
      </c>
      <c r="M674" t="s">
        <v>351</v>
      </c>
    </row>
    <row r="675" spans="1:13" x14ac:dyDescent="0.25">
      <c r="A675" t="s">
        <v>432</v>
      </c>
      <c r="B675"/>
      <c r="C675" t="s">
        <v>349</v>
      </c>
      <c r="D675"/>
      <c r="E675"/>
      <c r="F675"/>
      <c r="G675">
        <v>387</v>
      </c>
      <c r="H675" t="s">
        <v>601</v>
      </c>
      <c r="I675" t="s">
        <v>606</v>
      </c>
      <c r="J675">
        <v>220984</v>
      </c>
      <c r="K675" t="s">
        <v>874</v>
      </c>
      <c r="L675" t="s">
        <v>774</v>
      </c>
      <c r="M675" t="s">
        <v>351</v>
      </c>
    </row>
    <row r="676" spans="1:13" x14ac:dyDescent="0.25">
      <c r="A676" t="s">
        <v>396</v>
      </c>
      <c r="B676"/>
      <c r="C676"/>
      <c r="D676"/>
      <c r="E676"/>
      <c r="F676"/>
      <c r="G676">
        <v>2100</v>
      </c>
      <c r="H676" t="s">
        <v>644</v>
      </c>
      <c r="I676" t="s">
        <v>1051</v>
      </c>
      <c r="J676">
        <v>220984</v>
      </c>
      <c r="K676" t="s">
        <v>874</v>
      </c>
      <c r="L676" t="s">
        <v>774</v>
      </c>
      <c r="M676" t="s">
        <v>351</v>
      </c>
    </row>
    <row r="677" spans="1:13" x14ac:dyDescent="0.25">
      <c r="A677" t="s">
        <v>396</v>
      </c>
      <c r="B677"/>
      <c r="C677"/>
      <c r="D677"/>
      <c r="E677"/>
      <c r="F677"/>
      <c r="G677">
        <v>972</v>
      </c>
      <c r="H677" t="s">
        <v>591</v>
      </c>
      <c r="I677" t="s">
        <v>1051</v>
      </c>
      <c r="J677">
        <v>220984</v>
      </c>
      <c r="K677" t="s">
        <v>874</v>
      </c>
      <c r="L677" t="s">
        <v>774</v>
      </c>
      <c r="M677" t="s">
        <v>351</v>
      </c>
    </row>
    <row r="678" spans="1:13" x14ac:dyDescent="0.25">
      <c r="A678" t="s">
        <v>432</v>
      </c>
      <c r="B678"/>
      <c r="C678" t="s">
        <v>349</v>
      </c>
      <c r="D678"/>
      <c r="E678"/>
      <c r="F678"/>
      <c r="G678">
        <v>11</v>
      </c>
      <c r="H678" t="s">
        <v>356</v>
      </c>
      <c r="I678" t="s">
        <v>358</v>
      </c>
      <c r="J678">
        <v>220986</v>
      </c>
      <c r="K678" t="s">
        <v>872</v>
      </c>
      <c r="L678" t="s">
        <v>873</v>
      </c>
      <c r="M678" t="s">
        <v>351</v>
      </c>
    </row>
    <row r="679" spans="1:13" x14ac:dyDescent="0.25">
      <c r="A679" t="s">
        <v>490</v>
      </c>
      <c r="B679"/>
      <c r="C679" t="s">
        <v>349</v>
      </c>
      <c r="D679"/>
      <c r="E679"/>
      <c r="F679" t="s">
        <v>545</v>
      </c>
      <c r="G679">
        <v>12</v>
      </c>
      <c r="H679" t="s">
        <v>356</v>
      </c>
      <c r="I679" t="s">
        <v>358</v>
      </c>
      <c r="J679">
        <v>220986</v>
      </c>
      <c r="K679" t="s">
        <v>872</v>
      </c>
      <c r="L679" t="s">
        <v>873</v>
      </c>
      <c r="M679" t="s">
        <v>351</v>
      </c>
    </row>
    <row r="680" spans="1:13" x14ac:dyDescent="0.25">
      <c r="A680" t="s">
        <v>432</v>
      </c>
      <c r="B680"/>
      <c r="C680" t="s">
        <v>349</v>
      </c>
      <c r="D680"/>
      <c r="E680"/>
      <c r="F680"/>
      <c r="G680">
        <v>12</v>
      </c>
      <c r="H680" t="s">
        <v>356</v>
      </c>
      <c r="I680" t="s">
        <v>876</v>
      </c>
      <c r="J680">
        <v>220986</v>
      </c>
      <c r="K680" t="s">
        <v>872</v>
      </c>
      <c r="L680" t="s">
        <v>873</v>
      </c>
      <c r="M680" t="s">
        <v>351</v>
      </c>
    </row>
    <row r="681" spans="1:13" x14ac:dyDescent="0.25">
      <c r="A681" t="s">
        <v>560</v>
      </c>
      <c r="B681"/>
      <c r="C681"/>
      <c r="D681"/>
      <c r="E681"/>
      <c r="F681"/>
      <c r="G681">
        <v>1200</v>
      </c>
      <c r="H681" t="s">
        <v>897</v>
      </c>
      <c r="I681" t="s">
        <v>898</v>
      </c>
      <c r="J681">
        <v>220986</v>
      </c>
      <c r="K681" t="s">
        <v>872</v>
      </c>
      <c r="L681" t="s">
        <v>873</v>
      </c>
      <c r="M681" t="s">
        <v>351</v>
      </c>
    </row>
    <row r="682" spans="1:13" x14ac:dyDescent="0.25">
      <c r="A682" t="s">
        <v>634</v>
      </c>
      <c r="B682"/>
      <c r="C682" t="s">
        <v>349</v>
      </c>
      <c r="D682"/>
      <c r="E682"/>
      <c r="F682" t="s">
        <v>500</v>
      </c>
      <c r="G682">
        <v>92</v>
      </c>
      <c r="H682" t="s">
        <v>391</v>
      </c>
      <c r="I682" t="s">
        <v>876</v>
      </c>
      <c r="J682">
        <v>220986</v>
      </c>
      <c r="K682" t="s">
        <v>872</v>
      </c>
      <c r="L682" t="s">
        <v>873</v>
      </c>
      <c r="M682" t="s">
        <v>351</v>
      </c>
    </row>
    <row r="683" spans="1:13" x14ac:dyDescent="0.25">
      <c r="A683" t="s">
        <v>432</v>
      </c>
      <c r="B683"/>
      <c r="C683"/>
      <c r="D683"/>
      <c r="E683"/>
      <c r="F683"/>
      <c r="G683">
        <v>31</v>
      </c>
      <c r="H683" t="s">
        <v>856</v>
      </c>
      <c r="I683" t="s">
        <v>606</v>
      </c>
      <c r="J683">
        <v>221182</v>
      </c>
      <c r="K683" t="s">
        <v>1049</v>
      </c>
      <c r="L683" t="s">
        <v>801</v>
      </c>
      <c r="M683" t="s">
        <v>351</v>
      </c>
    </row>
    <row r="684" spans="1:13" x14ac:dyDescent="0.25">
      <c r="A684" t="s">
        <v>432</v>
      </c>
      <c r="B684"/>
      <c r="C684" t="s">
        <v>349</v>
      </c>
      <c r="D684"/>
      <c r="E684"/>
      <c r="F684"/>
      <c r="G684">
        <v>6</v>
      </c>
      <c r="H684" t="s">
        <v>356</v>
      </c>
      <c r="I684" t="s">
        <v>358</v>
      </c>
      <c r="J684">
        <v>221184</v>
      </c>
      <c r="K684" t="s">
        <v>846</v>
      </c>
      <c r="L684" t="s">
        <v>847</v>
      </c>
      <c r="M684" t="s">
        <v>351</v>
      </c>
    </row>
    <row r="685" spans="1:13" x14ac:dyDescent="0.25">
      <c r="A685" t="s">
        <v>565</v>
      </c>
      <c r="B685" t="s">
        <v>884</v>
      </c>
      <c r="C685" t="s">
        <v>349</v>
      </c>
      <c r="D685"/>
      <c r="E685"/>
      <c r="F685"/>
      <c r="G685">
        <v>17</v>
      </c>
      <c r="H685" t="s">
        <v>368</v>
      </c>
      <c r="I685" t="s">
        <v>358</v>
      </c>
      <c r="J685">
        <v>221184</v>
      </c>
      <c r="K685" t="s">
        <v>846</v>
      </c>
      <c r="L685" t="s">
        <v>847</v>
      </c>
      <c r="M685" t="s">
        <v>351</v>
      </c>
    </row>
    <row r="686" spans="1:13" x14ac:dyDescent="0.25">
      <c r="A686" t="s">
        <v>447</v>
      </c>
      <c r="B686"/>
      <c r="C686" t="s">
        <v>349</v>
      </c>
      <c r="D686"/>
      <c r="E686"/>
      <c r="F686" t="s">
        <v>545</v>
      </c>
      <c r="G686">
        <v>51</v>
      </c>
      <c r="H686" t="s">
        <v>356</v>
      </c>
      <c r="I686" t="s">
        <v>358</v>
      </c>
      <c r="J686">
        <v>221184</v>
      </c>
      <c r="K686" t="s">
        <v>846</v>
      </c>
      <c r="L686" t="s">
        <v>847</v>
      </c>
      <c r="M686" t="s">
        <v>351</v>
      </c>
    </row>
    <row r="687" spans="1:13" x14ac:dyDescent="0.25">
      <c r="A687" t="s">
        <v>941</v>
      </c>
      <c r="B687"/>
      <c r="C687" t="s">
        <v>349</v>
      </c>
      <c r="D687"/>
      <c r="E687"/>
      <c r="F687" t="s">
        <v>382</v>
      </c>
      <c r="G687">
        <v>56</v>
      </c>
      <c r="H687" t="s">
        <v>364</v>
      </c>
      <c r="I687" t="s">
        <v>358</v>
      </c>
      <c r="J687">
        <v>221184</v>
      </c>
      <c r="K687" t="s">
        <v>846</v>
      </c>
      <c r="L687" t="s">
        <v>847</v>
      </c>
      <c r="M687" t="s">
        <v>351</v>
      </c>
    </row>
    <row r="688" spans="1:13" x14ac:dyDescent="0.25">
      <c r="A688" t="s">
        <v>510</v>
      </c>
      <c r="B688"/>
      <c r="C688" t="s">
        <v>349</v>
      </c>
      <c r="D688"/>
      <c r="E688"/>
      <c r="F688" t="s">
        <v>382</v>
      </c>
      <c r="G688">
        <v>56</v>
      </c>
      <c r="H688" t="s">
        <v>364</v>
      </c>
      <c r="I688" t="s">
        <v>358</v>
      </c>
      <c r="J688">
        <v>221184</v>
      </c>
      <c r="K688" t="s">
        <v>846</v>
      </c>
      <c r="L688" t="s">
        <v>847</v>
      </c>
      <c r="M688" t="s">
        <v>351</v>
      </c>
    </row>
    <row r="689" spans="1:13" x14ac:dyDescent="0.25">
      <c r="A689" t="s">
        <v>432</v>
      </c>
      <c r="B689"/>
      <c r="C689" t="s">
        <v>349</v>
      </c>
      <c r="D689"/>
      <c r="E689"/>
      <c r="F689"/>
      <c r="G689">
        <v>90</v>
      </c>
      <c r="H689" t="s">
        <v>523</v>
      </c>
      <c r="I689" t="s">
        <v>358</v>
      </c>
      <c r="J689">
        <v>221184</v>
      </c>
      <c r="K689" t="s">
        <v>846</v>
      </c>
      <c r="L689" t="s">
        <v>847</v>
      </c>
      <c r="M689" t="s">
        <v>351</v>
      </c>
    </row>
    <row r="690" spans="1:13" x14ac:dyDescent="0.25">
      <c r="A690" t="s">
        <v>444</v>
      </c>
      <c r="B690"/>
      <c r="C690" t="s">
        <v>349</v>
      </c>
      <c r="D690"/>
      <c r="E690"/>
      <c r="F690" t="s">
        <v>500</v>
      </c>
      <c r="G690">
        <v>150</v>
      </c>
      <c r="H690" t="s">
        <v>361</v>
      </c>
      <c r="I690" t="s">
        <v>358</v>
      </c>
      <c r="J690">
        <v>221184</v>
      </c>
      <c r="K690" t="s">
        <v>846</v>
      </c>
      <c r="L690" t="s">
        <v>847</v>
      </c>
      <c r="M690" t="s">
        <v>351</v>
      </c>
    </row>
    <row r="691" spans="1:13" x14ac:dyDescent="0.25">
      <c r="A691" t="s">
        <v>413</v>
      </c>
      <c r="B691"/>
      <c r="C691" s="30" t="s">
        <v>1120</v>
      </c>
      <c r="D691"/>
      <c r="E691"/>
      <c r="F691" t="s">
        <v>500</v>
      </c>
      <c r="G691">
        <v>241</v>
      </c>
      <c r="H691" t="s">
        <v>643</v>
      </c>
      <c r="I691" t="s">
        <v>358</v>
      </c>
      <c r="J691">
        <v>221184</v>
      </c>
      <c r="K691" t="s">
        <v>846</v>
      </c>
      <c r="L691" t="s">
        <v>847</v>
      </c>
      <c r="M691" t="s">
        <v>351</v>
      </c>
    </row>
    <row r="692" spans="1:13" x14ac:dyDescent="0.25">
      <c r="A692" t="s">
        <v>396</v>
      </c>
      <c r="B692"/>
      <c r="C692"/>
      <c r="D692"/>
      <c r="E692"/>
      <c r="F692"/>
      <c r="G692">
        <v>317</v>
      </c>
      <c r="H692" t="s">
        <v>591</v>
      </c>
      <c r="I692" t="s">
        <v>1051</v>
      </c>
      <c r="J692">
        <v>221184</v>
      </c>
      <c r="K692" t="s">
        <v>846</v>
      </c>
      <c r="L692" t="s">
        <v>847</v>
      </c>
      <c r="M692" t="s">
        <v>351</v>
      </c>
    </row>
    <row r="693" spans="1:13" x14ac:dyDescent="0.25">
      <c r="A693" t="s">
        <v>396</v>
      </c>
      <c r="B693"/>
      <c r="C693"/>
      <c r="D693"/>
      <c r="E693"/>
      <c r="F693"/>
      <c r="G693">
        <v>981.2</v>
      </c>
      <c r="H693" t="s">
        <v>655</v>
      </c>
      <c r="I693" t="s">
        <v>652</v>
      </c>
      <c r="J693">
        <v>260186</v>
      </c>
      <c r="K693" t="s">
        <v>656</v>
      </c>
      <c r="L693" t="s">
        <v>657</v>
      </c>
      <c r="M693" t="s">
        <v>351</v>
      </c>
    </row>
    <row r="694" spans="1:13" x14ac:dyDescent="0.25">
      <c r="A694" t="s">
        <v>396</v>
      </c>
      <c r="B694"/>
      <c r="C694"/>
      <c r="D694"/>
      <c r="E694"/>
      <c r="F694"/>
      <c r="G694">
        <v>260</v>
      </c>
      <c r="H694" t="s">
        <v>676</v>
      </c>
      <c r="I694" t="s">
        <v>652</v>
      </c>
      <c r="J694">
        <v>260286</v>
      </c>
      <c r="K694" t="s">
        <v>819</v>
      </c>
      <c r="L694" t="s">
        <v>820</v>
      </c>
      <c r="M694" t="s">
        <v>351</v>
      </c>
    </row>
    <row r="695" spans="1:13" x14ac:dyDescent="0.25">
      <c r="A695" t="s">
        <v>396</v>
      </c>
      <c r="B695"/>
      <c r="C695"/>
      <c r="D695"/>
      <c r="E695"/>
      <c r="F695"/>
      <c r="G695">
        <v>260</v>
      </c>
      <c r="H695" t="s">
        <v>676</v>
      </c>
      <c r="I695" t="s">
        <v>652</v>
      </c>
      <c r="J695">
        <v>260386</v>
      </c>
      <c r="K695" t="s">
        <v>1066</v>
      </c>
      <c r="L695" t="s">
        <v>996</v>
      </c>
      <c r="M695" t="s">
        <v>351</v>
      </c>
    </row>
    <row r="696" spans="1:13" x14ac:dyDescent="0.25">
      <c r="A696" t="s">
        <v>396</v>
      </c>
      <c r="B696"/>
      <c r="C696"/>
      <c r="D696"/>
      <c r="E696"/>
      <c r="F696"/>
      <c r="G696">
        <v>520</v>
      </c>
      <c r="H696" t="s">
        <v>679</v>
      </c>
      <c r="I696" t="s">
        <v>652</v>
      </c>
      <c r="J696">
        <v>260486</v>
      </c>
      <c r="K696" t="s">
        <v>1046</v>
      </c>
      <c r="L696" t="s">
        <v>837</v>
      </c>
      <c r="M696" t="s">
        <v>351</v>
      </c>
    </row>
    <row r="697" spans="1:13" x14ac:dyDescent="0.25">
      <c r="A697" t="s">
        <v>484</v>
      </c>
      <c r="B697"/>
      <c r="C697" t="s">
        <v>349</v>
      </c>
      <c r="D697"/>
      <c r="E697"/>
      <c r="F697" t="s">
        <v>473</v>
      </c>
      <c r="G697">
        <v>1384</v>
      </c>
      <c r="H697" t="s">
        <v>642</v>
      </c>
      <c r="I697" t="s">
        <v>652</v>
      </c>
      <c r="J697">
        <v>260586</v>
      </c>
      <c r="K697" t="s">
        <v>1025</v>
      </c>
      <c r="L697" t="s">
        <v>837</v>
      </c>
      <c r="M697" t="s">
        <v>351</v>
      </c>
    </row>
    <row r="698" spans="1:13" x14ac:dyDescent="0.25">
      <c r="A698" t="s">
        <v>396</v>
      </c>
      <c r="B698"/>
      <c r="C698"/>
      <c r="D698"/>
      <c r="E698"/>
      <c r="F698"/>
      <c r="G698">
        <v>295.60000000000002</v>
      </c>
      <c r="H698" t="s">
        <v>629</v>
      </c>
      <c r="I698" t="s">
        <v>652</v>
      </c>
      <c r="J698">
        <v>260686</v>
      </c>
      <c r="K698" t="s">
        <v>696</v>
      </c>
      <c r="L698" t="s">
        <v>657</v>
      </c>
      <c r="M698" t="s">
        <v>351</v>
      </c>
    </row>
    <row r="699" spans="1:13" x14ac:dyDescent="0.25">
      <c r="A699" t="s">
        <v>396</v>
      </c>
      <c r="B699"/>
      <c r="C699"/>
      <c r="D699"/>
      <c r="E699"/>
      <c r="F699"/>
      <c r="G699">
        <v>1016.8</v>
      </c>
      <c r="H699" t="s">
        <v>1041</v>
      </c>
      <c r="I699" t="s">
        <v>652</v>
      </c>
      <c r="J699">
        <v>260786</v>
      </c>
      <c r="K699" t="s">
        <v>1048</v>
      </c>
      <c r="L699" t="s">
        <v>820</v>
      </c>
      <c r="M699" t="s">
        <v>351</v>
      </c>
    </row>
    <row r="700" spans="1:13" x14ac:dyDescent="0.25">
      <c r="A700" t="s">
        <v>396</v>
      </c>
      <c r="B700"/>
      <c r="C700"/>
      <c r="D700"/>
      <c r="E700"/>
      <c r="F700"/>
      <c r="G700">
        <v>1016.8</v>
      </c>
      <c r="H700" t="s">
        <v>1041</v>
      </c>
      <c r="I700" t="s">
        <v>652</v>
      </c>
      <c r="J700">
        <v>260886</v>
      </c>
      <c r="K700" t="s">
        <v>1042</v>
      </c>
      <c r="L700" t="s">
        <v>678</v>
      </c>
      <c r="M700" t="s">
        <v>351</v>
      </c>
    </row>
    <row r="701" spans="1:13" x14ac:dyDescent="0.25">
      <c r="A701" t="s">
        <v>396</v>
      </c>
      <c r="B701"/>
      <c r="C701"/>
      <c r="D701"/>
      <c r="E701"/>
      <c r="F701"/>
      <c r="G701">
        <v>591.20000000000005</v>
      </c>
      <c r="H701" t="s">
        <v>807</v>
      </c>
      <c r="I701" t="s">
        <v>652</v>
      </c>
      <c r="J701">
        <v>260986</v>
      </c>
      <c r="K701" t="s">
        <v>808</v>
      </c>
      <c r="L701" t="s">
        <v>654</v>
      </c>
      <c r="M701" t="s">
        <v>351</v>
      </c>
    </row>
    <row r="702" spans="1:13" x14ac:dyDescent="0.25">
      <c r="A702" t="s">
        <v>396</v>
      </c>
      <c r="B702"/>
      <c r="C702"/>
      <c r="D702"/>
      <c r="E702"/>
      <c r="F702"/>
      <c r="G702">
        <v>951.8</v>
      </c>
      <c r="H702" t="s">
        <v>1067</v>
      </c>
      <c r="I702" t="s">
        <v>652</v>
      </c>
      <c r="J702">
        <v>261086</v>
      </c>
      <c r="K702" t="s">
        <v>1068</v>
      </c>
      <c r="L702" t="s">
        <v>681</v>
      </c>
      <c r="M702" t="s">
        <v>351</v>
      </c>
    </row>
    <row r="703" spans="1:13" x14ac:dyDescent="0.25">
      <c r="A703" t="s">
        <v>493</v>
      </c>
      <c r="B703" t="s">
        <v>691</v>
      </c>
      <c r="C703"/>
      <c r="D703"/>
      <c r="E703"/>
      <c r="F703"/>
      <c r="G703">
        <v>68.400000000000006</v>
      </c>
      <c r="H703" t="s">
        <v>644</v>
      </c>
      <c r="I703" t="s">
        <v>652</v>
      </c>
      <c r="J703">
        <v>261184</v>
      </c>
      <c r="K703" t="s">
        <v>692</v>
      </c>
      <c r="L703" t="s">
        <v>654</v>
      </c>
      <c r="M703" t="s">
        <v>351</v>
      </c>
    </row>
    <row r="704" spans="1:13" x14ac:dyDescent="0.25">
      <c r="A704" t="s">
        <v>420</v>
      </c>
      <c r="B704"/>
      <c r="C704" t="s">
        <v>349</v>
      </c>
      <c r="D704"/>
      <c r="E704"/>
      <c r="F704" t="s">
        <v>545</v>
      </c>
      <c r="G704">
        <v>248</v>
      </c>
      <c r="H704" t="s">
        <v>988</v>
      </c>
      <c r="I704" t="s">
        <v>652</v>
      </c>
      <c r="J704">
        <v>261186</v>
      </c>
      <c r="K704" t="s">
        <v>990</v>
      </c>
      <c r="L704" t="s">
        <v>820</v>
      </c>
      <c r="M704" t="s">
        <v>351</v>
      </c>
    </row>
    <row r="705" spans="1:13" x14ac:dyDescent="0.25">
      <c r="A705" t="s">
        <v>493</v>
      </c>
      <c r="B705" t="s">
        <v>1058</v>
      </c>
      <c r="C705"/>
      <c r="D705"/>
      <c r="E705"/>
      <c r="F705"/>
      <c r="G705">
        <v>45.6</v>
      </c>
      <c r="H705" t="s">
        <v>856</v>
      </c>
      <c r="I705" t="s">
        <v>652</v>
      </c>
      <c r="J705">
        <v>261186</v>
      </c>
      <c r="K705" t="s">
        <v>990</v>
      </c>
      <c r="L705" t="s">
        <v>820</v>
      </c>
      <c r="M705" t="s">
        <v>351</v>
      </c>
    </row>
    <row r="706" spans="1:13" x14ac:dyDescent="0.25">
      <c r="A706" t="s">
        <v>420</v>
      </c>
      <c r="B706"/>
      <c r="C706" t="s">
        <v>349</v>
      </c>
      <c r="D706"/>
      <c r="E706"/>
      <c r="F706" t="s">
        <v>854</v>
      </c>
      <c r="G706">
        <v>744</v>
      </c>
      <c r="H706" t="s">
        <v>1008</v>
      </c>
      <c r="I706" t="s">
        <v>652</v>
      </c>
      <c r="J706">
        <v>261284</v>
      </c>
      <c r="K706" t="s">
        <v>1009</v>
      </c>
      <c r="L706" t="s">
        <v>996</v>
      </c>
      <c r="M706" t="s">
        <v>351</v>
      </c>
    </row>
    <row r="707" spans="1:13" x14ac:dyDescent="0.25">
      <c r="A707" t="s">
        <v>584</v>
      </c>
      <c r="B707"/>
      <c r="C707"/>
      <c r="D707"/>
      <c r="E707"/>
      <c r="F707"/>
      <c r="G707">
        <v>116</v>
      </c>
      <c r="H707" t="s">
        <v>1050</v>
      </c>
      <c r="I707" t="s">
        <v>652</v>
      </c>
      <c r="J707">
        <v>261284</v>
      </c>
      <c r="K707" t="s">
        <v>1009</v>
      </c>
      <c r="L707" t="s">
        <v>996</v>
      </c>
      <c r="M707" t="s">
        <v>351</v>
      </c>
    </row>
    <row r="708" spans="1:13" x14ac:dyDescent="0.25">
      <c r="A708" t="s">
        <v>839</v>
      </c>
      <c r="B708"/>
      <c r="C708"/>
      <c r="D708"/>
      <c r="E708"/>
      <c r="F708"/>
      <c r="G708">
        <v>656.4</v>
      </c>
      <c r="H708" t="s">
        <v>627</v>
      </c>
      <c r="I708" t="s">
        <v>652</v>
      </c>
      <c r="J708">
        <v>261286</v>
      </c>
      <c r="K708" t="s">
        <v>840</v>
      </c>
      <c r="L708" t="s">
        <v>657</v>
      </c>
      <c r="M708" t="s">
        <v>351</v>
      </c>
    </row>
    <row r="709" spans="1:13" x14ac:dyDescent="0.25">
      <c r="A709" t="s">
        <v>371</v>
      </c>
      <c r="B709" t="s">
        <v>596</v>
      </c>
      <c r="C709" t="s">
        <v>349</v>
      </c>
      <c r="D709"/>
      <c r="E709"/>
      <c r="F709" t="s">
        <v>597</v>
      </c>
      <c r="G709">
        <v>2.9980000000000002</v>
      </c>
      <c r="H709" t="s">
        <v>356</v>
      </c>
      <c r="I709" t="s">
        <v>811</v>
      </c>
      <c r="J709">
        <v>300110</v>
      </c>
      <c r="K709" t="s">
        <v>812</v>
      </c>
      <c r="L709" t="s">
        <v>758</v>
      </c>
      <c r="M709" t="s">
        <v>351</v>
      </c>
    </row>
    <row r="710" spans="1:13" x14ac:dyDescent="0.25">
      <c r="A710" t="s">
        <v>589</v>
      </c>
      <c r="B710"/>
      <c r="C710" t="s">
        <v>349</v>
      </c>
      <c r="D710"/>
      <c r="E710"/>
      <c r="F710"/>
      <c r="G710">
        <v>17468.3</v>
      </c>
      <c r="H710" t="s">
        <v>1030</v>
      </c>
      <c r="I710" t="s">
        <v>1031</v>
      </c>
      <c r="J710">
        <v>300110</v>
      </c>
      <c r="K710" t="s">
        <v>812</v>
      </c>
      <c r="L710" t="s">
        <v>758</v>
      </c>
      <c r="M710" t="s">
        <v>351</v>
      </c>
    </row>
    <row r="711" spans="1:13" x14ac:dyDescent="0.25">
      <c r="A711" s="30" t="s">
        <v>576</v>
      </c>
      <c r="B711"/>
      <c r="C711"/>
      <c r="D711"/>
      <c r="E711"/>
      <c r="F711"/>
      <c r="G711">
        <v>10</v>
      </c>
      <c r="H711" t="s">
        <v>541</v>
      </c>
      <c r="I711" t="s">
        <v>963</v>
      </c>
      <c r="J711">
        <v>301188</v>
      </c>
      <c r="K711" t="s">
        <v>964</v>
      </c>
      <c r="L711" t="s">
        <v>965</v>
      </c>
      <c r="M711" t="s">
        <v>351</v>
      </c>
    </row>
    <row r="712" spans="1:13" x14ac:dyDescent="0.25">
      <c r="A712" t="s">
        <v>546</v>
      </c>
      <c r="B712"/>
      <c r="C712" t="s">
        <v>349</v>
      </c>
      <c r="D712"/>
      <c r="E712"/>
      <c r="F712"/>
      <c r="G712">
        <v>1173</v>
      </c>
      <c r="H712" t="s">
        <v>640</v>
      </c>
      <c r="I712" t="s">
        <v>625</v>
      </c>
      <c r="J712">
        <v>340584</v>
      </c>
      <c r="K712" t="s">
        <v>1018</v>
      </c>
      <c r="L712" t="s">
        <v>1019</v>
      </c>
      <c r="M712" t="s">
        <v>351</v>
      </c>
    </row>
    <row r="713" spans="1:13" x14ac:dyDescent="0.25">
      <c r="A713" t="s">
        <v>347</v>
      </c>
      <c r="B713" t="s">
        <v>348</v>
      </c>
      <c r="C713" t="s">
        <v>349</v>
      </c>
      <c r="D713"/>
      <c r="E713"/>
      <c r="F713"/>
      <c r="G713">
        <v>0.01</v>
      </c>
      <c r="H713" t="s">
        <v>350</v>
      </c>
      <c r="I713" t="s">
        <v>352</v>
      </c>
      <c r="J713">
        <v>340688</v>
      </c>
      <c r="K713" t="s">
        <v>666</v>
      </c>
      <c r="L713" t="s">
        <v>667</v>
      </c>
      <c r="M713" t="s">
        <v>351</v>
      </c>
    </row>
    <row r="714" spans="1:13" x14ac:dyDescent="0.25">
      <c r="A714" t="s">
        <v>435</v>
      </c>
      <c r="B714" t="s">
        <v>429</v>
      </c>
      <c r="C714" t="s">
        <v>349</v>
      </c>
      <c r="D714"/>
      <c r="E714"/>
      <c r="F714"/>
      <c r="G714">
        <v>0.08</v>
      </c>
      <c r="H714" t="s">
        <v>350</v>
      </c>
      <c r="I714" t="s">
        <v>352</v>
      </c>
      <c r="J714">
        <v>340688</v>
      </c>
      <c r="K714" t="s">
        <v>666</v>
      </c>
      <c r="L714" t="s">
        <v>667</v>
      </c>
      <c r="M714" t="s">
        <v>351</v>
      </c>
    </row>
    <row r="715" spans="1:13" x14ac:dyDescent="0.25">
      <c r="A715" t="s">
        <v>376</v>
      </c>
      <c r="B715"/>
      <c r="C715" t="s">
        <v>349</v>
      </c>
      <c r="D715"/>
      <c r="E715"/>
      <c r="F715"/>
      <c r="G715">
        <v>0.13</v>
      </c>
      <c r="H715" t="s">
        <v>350</v>
      </c>
      <c r="I715" t="s">
        <v>352</v>
      </c>
      <c r="J715">
        <v>340688</v>
      </c>
      <c r="K715" t="s">
        <v>666</v>
      </c>
      <c r="L715" t="s">
        <v>667</v>
      </c>
      <c r="M715" t="s">
        <v>351</v>
      </c>
    </row>
    <row r="716" spans="1:13" x14ac:dyDescent="0.25">
      <c r="A716" t="s">
        <v>373</v>
      </c>
      <c r="B716" t="s">
        <v>383</v>
      </c>
      <c r="C716" t="s">
        <v>349</v>
      </c>
      <c r="D716"/>
      <c r="E716"/>
      <c r="F716" t="s">
        <v>700</v>
      </c>
      <c r="G716">
        <v>0.16</v>
      </c>
      <c r="H716" t="s">
        <v>350</v>
      </c>
      <c r="I716" t="s">
        <v>352</v>
      </c>
      <c r="J716">
        <v>340688</v>
      </c>
      <c r="K716" t="s">
        <v>666</v>
      </c>
      <c r="L716" t="s">
        <v>667</v>
      </c>
      <c r="M716" t="s">
        <v>351</v>
      </c>
    </row>
    <row r="717" spans="1:13" x14ac:dyDescent="0.25">
      <c r="A717" t="s">
        <v>435</v>
      </c>
      <c r="B717" t="s">
        <v>411</v>
      </c>
      <c r="C717" t="s">
        <v>349</v>
      </c>
      <c r="D717"/>
      <c r="E717"/>
      <c r="F717"/>
      <c r="G717">
        <v>0.16</v>
      </c>
      <c r="H717" t="s">
        <v>350</v>
      </c>
      <c r="I717" t="s">
        <v>352</v>
      </c>
      <c r="J717">
        <v>340688</v>
      </c>
      <c r="K717" t="s">
        <v>666</v>
      </c>
      <c r="L717" t="s">
        <v>667</v>
      </c>
      <c r="M717" t="s">
        <v>351</v>
      </c>
    </row>
    <row r="718" spans="1:13" x14ac:dyDescent="0.25">
      <c r="A718" t="s">
        <v>371</v>
      </c>
      <c r="B718" t="s">
        <v>381</v>
      </c>
      <c r="C718" t="s">
        <v>349</v>
      </c>
      <c r="D718"/>
      <c r="E718"/>
      <c r="F718" t="s">
        <v>701</v>
      </c>
      <c r="G718">
        <v>0.18</v>
      </c>
      <c r="H718" t="s">
        <v>350</v>
      </c>
      <c r="I718" t="s">
        <v>352</v>
      </c>
      <c r="J718">
        <v>340688</v>
      </c>
      <c r="K718" t="s">
        <v>666</v>
      </c>
      <c r="L718" t="s">
        <v>667</v>
      </c>
      <c r="M718" t="s">
        <v>351</v>
      </c>
    </row>
    <row r="719" spans="1:13" x14ac:dyDescent="0.25">
      <c r="A719" t="s">
        <v>373</v>
      </c>
      <c r="B719" t="s">
        <v>381</v>
      </c>
      <c r="C719" t="s">
        <v>349</v>
      </c>
      <c r="D719"/>
      <c r="E719"/>
      <c r="F719" t="s">
        <v>685</v>
      </c>
      <c r="G719">
        <v>0.2</v>
      </c>
      <c r="H719" t="s">
        <v>350</v>
      </c>
      <c r="I719" t="s">
        <v>352</v>
      </c>
      <c r="J719">
        <v>340688</v>
      </c>
      <c r="K719" t="s">
        <v>666</v>
      </c>
      <c r="L719" t="s">
        <v>667</v>
      </c>
      <c r="M719" t="s">
        <v>351</v>
      </c>
    </row>
    <row r="720" spans="1:13" x14ac:dyDescent="0.25">
      <c r="A720" t="s">
        <v>371</v>
      </c>
      <c r="B720" t="s">
        <v>429</v>
      </c>
      <c r="C720" t="s">
        <v>349</v>
      </c>
      <c r="D720"/>
      <c r="E720"/>
      <c r="F720" t="s">
        <v>710</v>
      </c>
      <c r="G720">
        <v>0.22</v>
      </c>
      <c r="H720" t="s">
        <v>350</v>
      </c>
      <c r="I720" t="s">
        <v>352</v>
      </c>
      <c r="J720">
        <v>340688</v>
      </c>
      <c r="K720" t="s">
        <v>666</v>
      </c>
      <c r="L720" t="s">
        <v>667</v>
      </c>
      <c r="M720" t="s">
        <v>351</v>
      </c>
    </row>
    <row r="721" spans="1:13" x14ac:dyDescent="0.25">
      <c r="A721" t="s">
        <v>371</v>
      </c>
      <c r="B721" t="s">
        <v>411</v>
      </c>
      <c r="C721" t="s">
        <v>349</v>
      </c>
      <c r="D721"/>
      <c r="E721"/>
      <c r="F721" t="s">
        <v>711</v>
      </c>
      <c r="G721">
        <v>0.25</v>
      </c>
      <c r="H721" t="s">
        <v>350</v>
      </c>
      <c r="I721" t="s">
        <v>352</v>
      </c>
      <c r="J721">
        <v>340688</v>
      </c>
      <c r="K721" t="s">
        <v>666</v>
      </c>
      <c r="L721" t="s">
        <v>667</v>
      </c>
      <c r="M721" t="s">
        <v>351</v>
      </c>
    </row>
    <row r="722" spans="1:13" x14ac:dyDescent="0.25">
      <c r="A722" t="s">
        <v>413</v>
      </c>
      <c r="B722"/>
      <c r="C722" t="s">
        <v>349</v>
      </c>
      <c r="D722"/>
      <c r="E722"/>
      <c r="F722" t="s">
        <v>690</v>
      </c>
      <c r="G722">
        <v>0.28999999999999998</v>
      </c>
      <c r="H722" t="s">
        <v>410</v>
      </c>
      <c r="I722" t="s">
        <v>352</v>
      </c>
      <c r="J722">
        <v>340688</v>
      </c>
      <c r="K722" t="s">
        <v>666</v>
      </c>
      <c r="L722" t="s">
        <v>667</v>
      </c>
      <c r="M722" t="s">
        <v>351</v>
      </c>
    </row>
    <row r="723" spans="1:13" x14ac:dyDescent="0.25">
      <c r="A723" t="s">
        <v>373</v>
      </c>
      <c r="B723" t="s">
        <v>414</v>
      </c>
      <c r="C723" t="s">
        <v>349</v>
      </c>
      <c r="D723"/>
      <c r="E723"/>
      <c r="F723" t="s">
        <v>724</v>
      </c>
      <c r="G723">
        <v>0.3</v>
      </c>
      <c r="H723" t="s">
        <v>410</v>
      </c>
      <c r="I723" t="s">
        <v>352</v>
      </c>
      <c r="J723">
        <v>340688</v>
      </c>
      <c r="K723" t="s">
        <v>666</v>
      </c>
      <c r="L723" t="s">
        <v>667</v>
      </c>
      <c r="M723" t="s">
        <v>351</v>
      </c>
    </row>
    <row r="724" spans="1:13" x14ac:dyDescent="0.25">
      <c r="A724" t="s">
        <v>621</v>
      </c>
      <c r="B724"/>
      <c r="C724" t="s">
        <v>349</v>
      </c>
      <c r="D724"/>
      <c r="E724"/>
      <c r="F724" t="s">
        <v>712</v>
      </c>
      <c r="G724">
        <v>0.36</v>
      </c>
      <c r="H724" t="s">
        <v>350</v>
      </c>
      <c r="I724" t="s">
        <v>352</v>
      </c>
      <c r="J724">
        <v>340688</v>
      </c>
      <c r="K724" t="s">
        <v>666</v>
      </c>
      <c r="L724" t="s">
        <v>667</v>
      </c>
      <c r="M724" t="s">
        <v>351</v>
      </c>
    </row>
    <row r="725" spans="1:13" x14ac:dyDescent="0.25">
      <c r="A725" t="s">
        <v>373</v>
      </c>
      <c r="B725" t="s">
        <v>445</v>
      </c>
      <c r="C725" t="s">
        <v>349</v>
      </c>
      <c r="D725"/>
      <c r="E725"/>
      <c r="F725" t="s">
        <v>734</v>
      </c>
      <c r="G725">
        <v>0.36</v>
      </c>
      <c r="H725" t="s">
        <v>350</v>
      </c>
      <c r="I725" t="s">
        <v>352</v>
      </c>
      <c r="J725">
        <v>340688</v>
      </c>
      <c r="K725" t="s">
        <v>666</v>
      </c>
      <c r="L725" t="s">
        <v>667</v>
      </c>
      <c r="M725" t="s">
        <v>351</v>
      </c>
    </row>
    <row r="726" spans="1:13" x14ac:dyDescent="0.25">
      <c r="A726" t="s">
        <v>409</v>
      </c>
      <c r="B726"/>
      <c r="C726" t="s">
        <v>349</v>
      </c>
      <c r="D726"/>
      <c r="E726"/>
      <c r="F726" t="s">
        <v>735</v>
      </c>
      <c r="G726">
        <v>0.39</v>
      </c>
      <c r="H726" t="s">
        <v>488</v>
      </c>
      <c r="I726" t="s">
        <v>352</v>
      </c>
      <c r="J726">
        <v>340688</v>
      </c>
      <c r="K726" t="s">
        <v>666</v>
      </c>
      <c r="L726" t="s">
        <v>667</v>
      </c>
      <c r="M726" t="s">
        <v>351</v>
      </c>
    </row>
    <row r="727" spans="1:13" x14ac:dyDescent="0.25">
      <c r="A727" t="s">
        <v>371</v>
      </c>
      <c r="B727" t="s">
        <v>429</v>
      </c>
      <c r="C727" t="s">
        <v>349</v>
      </c>
      <c r="D727"/>
      <c r="E727"/>
      <c r="F727" t="s">
        <v>738</v>
      </c>
      <c r="G727">
        <v>0.44</v>
      </c>
      <c r="H727" t="s">
        <v>350</v>
      </c>
      <c r="I727" t="s">
        <v>352</v>
      </c>
      <c r="J727">
        <v>340688</v>
      </c>
      <c r="K727" t="s">
        <v>666</v>
      </c>
      <c r="L727" t="s">
        <v>667</v>
      </c>
      <c r="M727" t="s">
        <v>351</v>
      </c>
    </row>
    <row r="728" spans="1:13" x14ac:dyDescent="0.25">
      <c r="A728" t="s">
        <v>357</v>
      </c>
      <c r="B728" t="s">
        <v>522</v>
      </c>
      <c r="C728" t="s">
        <v>349</v>
      </c>
      <c r="D728"/>
      <c r="E728" t="s">
        <v>106</v>
      </c>
      <c r="F728"/>
      <c r="G728">
        <v>0.54</v>
      </c>
      <c r="H728" t="s">
        <v>350</v>
      </c>
      <c r="I728" t="s">
        <v>352</v>
      </c>
      <c r="J728">
        <v>340688</v>
      </c>
      <c r="K728" t="s">
        <v>666</v>
      </c>
      <c r="L728" t="s">
        <v>667</v>
      </c>
      <c r="M728" t="s">
        <v>351</v>
      </c>
    </row>
    <row r="729" spans="1:13" x14ac:dyDescent="0.25">
      <c r="A729" t="s">
        <v>416</v>
      </c>
      <c r="B729"/>
      <c r="C729" t="s">
        <v>349</v>
      </c>
      <c r="D729"/>
      <c r="E729"/>
      <c r="F729" t="s">
        <v>418</v>
      </c>
      <c r="G729">
        <v>0.56000000000000005</v>
      </c>
      <c r="H729" t="s">
        <v>350</v>
      </c>
      <c r="I729" t="s">
        <v>352</v>
      </c>
      <c r="J729">
        <v>340688</v>
      </c>
      <c r="K729" t="s">
        <v>666</v>
      </c>
      <c r="L729" t="s">
        <v>667</v>
      </c>
      <c r="M729" t="s">
        <v>351</v>
      </c>
    </row>
    <row r="730" spans="1:13" x14ac:dyDescent="0.25">
      <c r="A730" t="s">
        <v>465</v>
      </c>
      <c r="B730" t="s">
        <v>466</v>
      </c>
      <c r="C730" t="s">
        <v>349</v>
      </c>
      <c r="D730"/>
      <c r="E730"/>
      <c r="F730" t="s">
        <v>744</v>
      </c>
      <c r="G730">
        <v>0.56000000000000005</v>
      </c>
      <c r="H730" t="s">
        <v>350</v>
      </c>
      <c r="I730" t="s">
        <v>352</v>
      </c>
      <c r="J730">
        <v>340688</v>
      </c>
      <c r="K730" t="s">
        <v>666</v>
      </c>
      <c r="L730" t="s">
        <v>667</v>
      </c>
      <c r="M730" t="s">
        <v>351</v>
      </c>
    </row>
    <row r="731" spans="1:13" x14ac:dyDescent="0.25">
      <c r="A731" t="s">
        <v>462</v>
      </c>
      <c r="B731" t="s">
        <v>745</v>
      </c>
      <c r="C731" t="s">
        <v>349</v>
      </c>
      <c r="D731"/>
      <c r="E731"/>
      <c r="F731"/>
      <c r="G731">
        <v>0.59</v>
      </c>
      <c r="H731" t="s">
        <v>350</v>
      </c>
      <c r="I731" t="s">
        <v>352</v>
      </c>
      <c r="J731">
        <v>340688</v>
      </c>
      <c r="K731" t="s">
        <v>666</v>
      </c>
      <c r="L731" t="s">
        <v>667</v>
      </c>
      <c r="M731" t="s">
        <v>351</v>
      </c>
    </row>
    <row r="732" spans="1:13" x14ac:dyDescent="0.25">
      <c r="A732" t="s">
        <v>436</v>
      </c>
      <c r="B732"/>
      <c r="C732" t="s">
        <v>349</v>
      </c>
      <c r="D732"/>
      <c r="E732"/>
      <c r="F732" t="s">
        <v>749</v>
      </c>
      <c r="G732">
        <v>0.6</v>
      </c>
      <c r="H732" t="s">
        <v>350</v>
      </c>
      <c r="I732" t="s">
        <v>352</v>
      </c>
      <c r="J732">
        <v>340688</v>
      </c>
      <c r="K732" t="s">
        <v>666</v>
      </c>
      <c r="L732" t="s">
        <v>667</v>
      </c>
      <c r="M732" t="s">
        <v>351</v>
      </c>
    </row>
    <row r="733" spans="1:13" x14ac:dyDescent="0.25">
      <c r="A733" t="s">
        <v>462</v>
      </c>
      <c r="B733" t="s">
        <v>755</v>
      </c>
      <c r="C733" t="s">
        <v>349</v>
      </c>
      <c r="D733"/>
      <c r="E733"/>
      <c r="F733"/>
      <c r="G733">
        <v>0.86</v>
      </c>
      <c r="H733" t="s">
        <v>350</v>
      </c>
      <c r="I733" t="s">
        <v>352</v>
      </c>
      <c r="J733">
        <v>340688</v>
      </c>
      <c r="K733" t="s">
        <v>666</v>
      </c>
      <c r="L733" t="s">
        <v>667</v>
      </c>
      <c r="M733" t="s">
        <v>351</v>
      </c>
    </row>
    <row r="734" spans="1:13" x14ac:dyDescent="0.25">
      <c r="A734" t="s">
        <v>462</v>
      </c>
      <c r="B734" t="s">
        <v>463</v>
      </c>
      <c r="C734" t="s">
        <v>349</v>
      </c>
      <c r="D734"/>
      <c r="E734"/>
      <c r="F734"/>
      <c r="G734">
        <v>1</v>
      </c>
      <c r="H734" t="s">
        <v>350</v>
      </c>
      <c r="I734" t="s">
        <v>352</v>
      </c>
      <c r="J734">
        <v>340688</v>
      </c>
      <c r="K734" t="s">
        <v>666</v>
      </c>
      <c r="L734" t="s">
        <v>667</v>
      </c>
      <c r="M734" t="s">
        <v>351</v>
      </c>
    </row>
    <row r="735" spans="1:13" x14ac:dyDescent="0.25">
      <c r="A735" t="s">
        <v>506</v>
      </c>
      <c r="B735" t="s">
        <v>743</v>
      </c>
      <c r="C735" t="s">
        <v>349</v>
      </c>
      <c r="D735"/>
      <c r="E735"/>
      <c r="F735"/>
      <c r="G735">
        <v>1.06</v>
      </c>
      <c r="H735" t="s">
        <v>410</v>
      </c>
      <c r="I735" t="s">
        <v>352</v>
      </c>
      <c r="J735">
        <v>340688</v>
      </c>
      <c r="K735" t="s">
        <v>666</v>
      </c>
      <c r="L735" t="s">
        <v>667</v>
      </c>
      <c r="M735" t="s">
        <v>351</v>
      </c>
    </row>
    <row r="736" spans="1:13" x14ac:dyDescent="0.25">
      <c r="A736" t="s">
        <v>699</v>
      </c>
      <c r="B736"/>
      <c r="C736" t="s">
        <v>349</v>
      </c>
      <c r="D736"/>
      <c r="E736"/>
      <c r="F736" t="s">
        <v>738</v>
      </c>
      <c r="G736">
        <v>1.54</v>
      </c>
      <c r="H736" t="s">
        <v>410</v>
      </c>
      <c r="I736" t="s">
        <v>352</v>
      </c>
      <c r="J736">
        <v>340688</v>
      </c>
      <c r="K736" t="s">
        <v>666</v>
      </c>
      <c r="L736" t="s">
        <v>667</v>
      </c>
      <c r="M736" t="s">
        <v>351</v>
      </c>
    </row>
    <row r="737" spans="1:13" x14ac:dyDescent="0.25">
      <c r="A737" t="s">
        <v>483</v>
      </c>
      <c r="B737"/>
      <c r="C737" t="s">
        <v>349</v>
      </c>
      <c r="D737"/>
      <c r="E737"/>
      <c r="F737" t="s">
        <v>821</v>
      </c>
      <c r="G737">
        <v>3.83</v>
      </c>
      <c r="H737" t="s">
        <v>593</v>
      </c>
      <c r="I737" t="s">
        <v>352</v>
      </c>
      <c r="J737">
        <v>340688</v>
      </c>
      <c r="K737" t="s">
        <v>666</v>
      </c>
      <c r="L737" t="s">
        <v>667</v>
      </c>
      <c r="M737" t="s">
        <v>351</v>
      </c>
    </row>
    <row r="738" spans="1:13" x14ac:dyDescent="0.25">
      <c r="A738" t="s">
        <v>444</v>
      </c>
      <c r="B738"/>
      <c r="C738" t="s">
        <v>349</v>
      </c>
      <c r="D738"/>
      <c r="E738"/>
      <c r="F738" t="s">
        <v>823</v>
      </c>
      <c r="G738">
        <v>3.94</v>
      </c>
      <c r="H738" t="s">
        <v>427</v>
      </c>
      <c r="I738" t="s">
        <v>352</v>
      </c>
      <c r="J738">
        <v>340688</v>
      </c>
      <c r="K738" t="s">
        <v>666</v>
      </c>
      <c r="L738" t="s">
        <v>667</v>
      </c>
      <c r="M738" t="s">
        <v>351</v>
      </c>
    </row>
    <row r="739" spans="1:13" x14ac:dyDescent="0.25">
      <c r="A739" t="s">
        <v>484</v>
      </c>
      <c r="B739"/>
      <c r="C739" t="s">
        <v>349</v>
      </c>
      <c r="D739"/>
      <c r="E739"/>
      <c r="F739" t="s">
        <v>827</v>
      </c>
      <c r="G739">
        <v>4.0199999999999996</v>
      </c>
      <c r="H739" t="s">
        <v>359</v>
      </c>
      <c r="I739" t="s">
        <v>352</v>
      </c>
      <c r="J739">
        <v>340688</v>
      </c>
      <c r="K739" t="s">
        <v>666</v>
      </c>
      <c r="L739" t="s">
        <v>667</v>
      </c>
      <c r="M739" t="s">
        <v>351</v>
      </c>
    </row>
    <row r="740" spans="1:13" x14ac:dyDescent="0.25">
      <c r="A740" t="s">
        <v>472</v>
      </c>
      <c r="B740"/>
      <c r="C740" t="s">
        <v>349</v>
      </c>
      <c r="D740"/>
      <c r="E740"/>
      <c r="F740" t="s">
        <v>689</v>
      </c>
      <c r="G740">
        <v>4.66</v>
      </c>
      <c r="H740" t="s">
        <v>480</v>
      </c>
      <c r="I740" t="s">
        <v>352</v>
      </c>
      <c r="J740">
        <v>340688</v>
      </c>
      <c r="K740" t="s">
        <v>666</v>
      </c>
      <c r="L740" t="s">
        <v>667</v>
      </c>
      <c r="M740" t="s">
        <v>351</v>
      </c>
    </row>
    <row r="741" spans="1:13" x14ac:dyDescent="0.25">
      <c r="A741" t="s">
        <v>468</v>
      </c>
      <c r="B741"/>
      <c r="C741" t="s">
        <v>349</v>
      </c>
      <c r="D741"/>
      <c r="E741"/>
      <c r="F741" t="s">
        <v>828</v>
      </c>
      <c r="G741">
        <v>4.83</v>
      </c>
      <c r="H741" t="s">
        <v>427</v>
      </c>
      <c r="I741" t="s">
        <v>352</v>
      </c>
      <c r="J741">
        <v>340688</v>
      </c>
      <c r="K741" t="s">
        <v>666</v>
      </c>
      <c r="L741" t="s">
        <v>667</v>
      </c>
      <c r="M741" t="s">
        <v>351</v>
      </c>
    </row>
    <row r="742" spans="1:13" x14ac:dyDescent="0.25">
      <c r="A742" t="s">
        <v>699</v>
      </c>
      <c r="B742"/>
      <c r="C742" t="s">
        <v>349</v>
      </c>
      <c r="D742"/>
      <c r="E742"/>
      <c r="F742" t="s">
        <v>704</v>
      </c>
      <c r="G742">
        <v>8.65</v>
      </c>
      <c r="H742" t="s">
        <v>354</v>
      </c>
      <c r="I742" t="s">
        <v>352</v>
      </c>
      <c r="J742">
        <v>340688</v>
      </c>
      <c r="K742" t="s">
        <v>666</v>
      </c>
      <c r="L742" t="s">
        <v>667</v>
      </c>
      <c r="M742" t="s">
        <v>351</v>
      </c>
    </row>
    <row r="743" spans="1:13" x14ac:dyDescent="0.25">
      <c r="A743" t="s">
        <v>462</v>
      </c>
      <c r="B743" t="s">
        <v>581</v>
      </c>
      <c r="C743" t="s">
        <v>349</v>
      </c>
      <c r="D743"/>
      <c r="E743"/>
      <c r="F743"/>
      <c r="G743">
        <v>12.32</v>
      </c>
      <c r="H743" t="s">
        <v>551</v>
      </c>
      <c r="I743" t="s">
        <v>352</v>
      </c>
      <c r="J743">
        <v>340688</v>
      </c>
      <c r="K743" t="s">
        <v>666</v>
      </c>
      <c r="L743" t="s">
        <v>667</v>
      </c>
      <c r="M743" t="s">
        <v>351</v>
      </c>
    </row>
    <row r="744" spans="1:13" x14ac:dyDescent="0.25">
      <c r="A744" t="s">
        <v>546</v>
      </c>
      <c r="B744"/>
      <c r="C744" t="s">
        <v>349</v>
      </c>
      <c r="D744"/>
      <c r="E744"/>
      <c r="F744"/>
      <c r="G744">
        <v>17.850000000000001</v>
      </c>
      <c r="H744" t="s">
        <v>627</v>
      </c>
      <c r="I744" t="s">
        <v>352</v>
      </c>
      <c r="J744">
        <v>340688</v>
      </c>
      <c r="K744" t="s">
        <v>666</v>
      </c>
      <c r="L744" t="s">
        <v>667</v>
      </c>
      <c r="M744" t="s">
        <v>351</v>
      </c>
    </row>
    <row r="745" spans="1:13" x14ac:dyDescent="0.25">
      <c r="A745" t="s">
        <v>432</v>
      </c>
      <c r="B745"/>
      <c r="C745" t="s">
        <v>349</v>
      </c>
      <c r="D745"/>
      <c r="E745"/>
      <c r="F745"/>
      <c r="G745">
        <v>73.510000000000005</v>
      </c>
      <c r="H745" t="s">
        <v>945</v>
      </c>
      <c r="I745" t="s">
        <v>352</v>
      </c>
      <c r="J745">
        <v>340688</v>
      </c>
      <c r="K745" t="s">
        <v>666</v>
      </c>
      <c r="L745" t="s">
        <v>667</v>
      </c>
      <c r="M745" t="s">
        <v>351</v>
      </c>
    </row>
    <row r="746" spans="1:13" x14ac:dyDescent="0.25">
      <c r="A746" t="s">
        <v>435</v>
      </c>
      <c r="B746" t="s">
        <v>411</v>
      </c>
      <c r="C746" t="s">
        <v>349</v>
      </c>
      <c r="D746"/>
      <c r="E746"/>
      <c r="F746"/>
      <c r="G746">
        <v>0.3</v>
      </c>
      <c r="H746" t="s">
        <v>356</v>
      </c>
      <c r="I746" t="s">
        <v>682</v>
      </c>
      <c r="J746">
        <v>420012</v>
      </c>
      <c r="K746" t="s">
        <v>732</v>
      </c>
      <c r="L746" t="s">
        <v>733</v>
      </c>
      <c r="M746" t="s">
        <v>351</v>
      </c>
    </row>
    <row r="747" spans="1:13" x14ac:dyDescent="0.25">
      <c r="A747" t="s">
        <v>409</v>
      </c>
      <c r="B747"/>
      <c r="C747" t="s">
        <v>349</v>
      </c>
      <c r="D747"/>
      <c r="E747"/>
      <c r="F747" t="s">
        <v>451</v>
      </c>
      <c r="G747">
        <v>0.4</v>
      </c>
      <c r="H747" t="s">
        <v>364</v>
      </c>
      <c r="I747" t="s">
        <v>682</v>
      </c>
      <c r="J747">
        <v>420012</v>
      </c>
      <c r="K747" t="s">
        <v>732</v>
      </c>
      <c r="L747" t="s">
        <v>733</v>
      </c>
      <c r="M747" t="s">
        <v>351</v>
      </c>
    </row>
    <row r="748" spans="1:13" x14ac:dyDescent="0.25">
      <c r="A748" t="s">
        <v>371</v>
      </c>
      <c r="B748" t="s">
        <v>786</v>
      </c>
      <c r="C748" t="s">
        <v>349</v>
      </c>
      <c r="D748"/>
      <c r="E748"/>
      <c r="F748" t="s">
        <v>412</v>
      </c>
      <c r="G748">
        <v>1.3</v>
      </c>
      <c r="H748" t="s">
        <v>356</v>
      </c>
      <c r="I748" t="s">
        <v>682</v>
      </c>
      <c r="J748">
        <v>420012</v>
      </c>
      <c r="K748" t="s">
        <v>732</v>
      </c>
      <c r="L748" t="s">
        <v>733</v>
      </c>
      <c r="M748" t="s">
        <v>351</v>
      </c>
    </row>
    <row r="749" spans="1:13" x14ac:dyDescent="0.25">
      <c r="A749" t="s">
        <v>453</v>
      </c>
      <c r="B749" t="s">
        <v>515</v>
      </c>
      <c r="C749" t="s">
        <v>349</v>
      </c>
      <c r="D749"/>
      <c r="E749"/>
      <c r="F749"/>
      <c r="G749">
        <v>1.4</v>
      </c>
      <c r="H749" t="s">
        <v>356</v>
      </c>
      <c r="I749" t="s">
        <v>682</v>
      </c>
      <c r="J749">
        <v>420012</v>
      </c>
      <c r="K749" t="s">
        <v>732</v>
      </c>
      <c r="L749" t="s">
        <v>733</v>
      </c>
      <c r="M749" t="s">
        <v>351</v>
      </c>
    </row>
    <row r="750" spans="1:13" x14ac:dyDescent="0.25">
      <c r="A750" t="s">
        <v>453</v>
      </c>
      <c r="B750" t="s">
        <v>526</v>
      </c>
      <c r="C750" t="s">
        <v>349</v>
      </c>
      <c r="D750"/>
      <c r="E750"/>
      <c r="F750"/>
      <c r="G750">
        <v>1.4</v>
      </c>
      <c r="H750" t="s">
        <v>356</v>
      </c>
      <c r="I750" t="s">
        <v>682</v>
      </c>
      <c r="J750">
        <v>420012</v>
      </c>
      <c r="K750" t="s">
        <v>732</v>
      </c>
      <c r="L750" t="s">
        <v>733</v>
      </c>
      <c r="M750" t="s">
        <v>351</v>
      </c>
    </row>
    <row r="751" spans="1:13" x14ac:dyDescent="0.25">
      <c r="A751" t="s">
        <v>435</v>
      </c>
      <c r="B751" t="s">
        <v>381</v>
      </c>
      <c r="C751" t="s">
        <v>349</v>
      </c>
      <c r="D751"/>
      <c r="E751"/>
      <c r="F751"/>
      <c r="G751">
        <v>2.1</v>
      </c>
      <c r="H751" t="s">
        <v>364</v>
      </c>
      <c r="I751" t="s">
        <v>682</v>
      </c>
      <c r="J751">
        <v>420012</v>
      </c>
      <c r="K751" t="s">
        <v>732</v>
      </c>
      <c r="L751" t="s">
        <v>733</v>
      </c>
      <c r="M751" t="s">
        <v>351</v>
      </c>
    </row>
    <row r="752" spans="1:13" x14ac:dyDescent="0.25">
      <c r="A752" t="s">
        <v>413</v>
      </c>
      <c r="B752"/>
      <c r="C752" t="s">
        <v>349</v>
      </c>
      <c r="D752"/>
      <c r="E752"/>
      <c r="F752" t="s">
        <v>418</v>
      </c>
      <c r="G752">
        <v>2.2000000000000002</v>
      </c>
      <c r="H752" t="s">
        <v>391</v>
      </c>
      <c r="I752" t="s">
        <v>682</v>
      </c>
      <c r="J752">
        <v>420012</v>
      </c>
      <c r="K752" t="s">
        <v>732</v>
      </c>
      <c r="L752" t="s">
        <v>733</v>
      </c>
      <c r="M752" t="s">
        <v>351</v>
      </c>
    </row>
    <row r="753" spans="1:13" x14ac:dyDescent="0.25">
      <c r="A753" t="s">
        <v>458</v>
      </c>
      <c r="B753"/>
      <c r="C753" t="s">
        <v>349</v>
      </c>
      <c r="D753"/>
      <c r="E753"/>
      <c r="F753" t="s">
        <v>417</v>
      </c>
      <c r="G753">
        <v>2.7</v>
      </c>
      <c r="H753" t="s">
        <v>367</v>
      </c>
      <c r="I753" t="s">
        <v>682</v>
      </c>
      <c r="J753">
        <v>420012</v>
      </c>
      <c r="K753" t="s">
        <v>732</v>
      </c>
      <c r="L753" t="s">
        <v>733</v>
      </c>
      <c r="M753" t="s">
        <v>351</v>
      </c>
    </row>
    <row r="754" spans="1:13" x14ac:dyDescent="0.25">
      <c r="A754" t="s">
        <v>483</v>
      </c>
      <c r="B754"/>
      <c r="C754" t="s">
        <v>349</v>
      </c>
      <c r="D754"/>
      <c r="E754"/>
      <c r="F754" t="s">
        <v>516</v>
      </c>
      <c r="G754">
        <v>3.6</v>
      </c>
      <c r="H754" t="s">
        <v>356</v>
      </c>
      <c r="I754" t="s">
        <v>682</v>
      </c>
      <c r="J754">
        <v>420012</v>
      </c>
      <c r="K754" t="s">
        <v>732</v>
      </c>
      <c r="L754" t="s">
        <v>733</v>
      </c>
      <c r="M754" t="s">
        <v>351</v>
      </c>
    </row>
    <row r="755" spans="1:13" x14ac:dyDescent="0.25">
      <c r="A755" t="s">
        <v>546</v>
      </c>
      <c r="B755"/>
      <c r="C755" t="s">
        <v>349</v>
      </c>
      <c r="D755"/>
      <c r="E755"/>
      <c r="F755"/>
      <c r="G755">
        <v>4.0999999999999996</v>
      </c>
      <c r="H755" t="s">
        <v>356</v>
      </c>
      <c r="I755" t="s">
        <v>682</v>
      </c>
      <c r="J755">
        <v>420012</v>
      </c>
      <c r="K755" t="s">
        <v>732</v>
      </c>
      <c r="L755" t="s">
        <v>733</v>
      </c>
      <c r="M755" t="s">
        <v>351</v>
      </c>
    </row>
    <row r="756" spans="1:13" x14ac:dyDescent="0.25">
      <c r="A756" t="s">
        <v>483</v>
      </c>
      <c r="B756"/>
      <c r="C756" t="s">
        <v>349</v>
      </c>
      <c r="D756"/>
      <c r="E756"/>
      <c r="F756" t="s">
        <v>398</v>
      </c>
      <c r="G756">
        <v>4.5</v>
      </c>
      <c r="H756" t="s">
        <v>361</v>
      </c>
      <c r="I756" t="s">
        <v>682</v>
      </c>
      <c r="J756">
        <v>420012</v>
      </c>
      <c r="K756" t="s">
        <v>732</v>
      </c>
      <c r="L756" t="s">
        <v>733</v>
      </c>
      <c r="M756" t="s">
        <v>351</v>
      </c>
    </row>
    <row r="757" spans="1:13" x14ac:dyDescent="0.25">
      <c r="A757" t="s">
        <v>357</v>
      </c>
      <c r="B757" t="s">
        <v>603</v>
      </c>
      <c r="C757" t="s">
        <v>349</v>
      </c>
      <c r="D757"/>
      <c r="E757" t="s">
        <v>340</v>
      </c>
      <c r="F757"/>
      <c r="G757">
        <v>7.3</v>
      </c>
      <c r="H757" t="s">
        <v>356</v>
      </c>
      <c r="I757" t="s">
        <v>682</v>
      </c>
      <c r="J757">
        <v>420012</v>
      </c>
      <c r="K757" t="s">
        <v>732</v>
      </c>
      <c r="L757" t="s">
        <v>733</v>
      </c>
      <c r="M757" t="s">
        <v>351</v>
      </c>
    </row>
    <row r="758" spans="1:13" x14ac:dyDescent="0.25">
      <c r="A758" t="s">
        <v>495</v>
      </c>
      <c r="B758" t="s">
        <v>875</v>
      </c>
      <c r="C758" t="s">
        <v>349</v>
      </c>
      <c r="D758"/>
      <c r="E758"/>
      <c r="F758"/>
      <c r="G758">
        <v>11.4</v>
      </c>
      <c r="H758" t="s">
        <v>356</v>
      </c>
      <c r="I758" t="s">
        <v>682</v>
      </c>
      <c r="J758">
        <v>420012</v>
      </c>
      <c r="K758" t="s">
        <v>732</v>
      </c>
      <c r="L758" t="s">
        <v>733</v>
      </c>
      <c r="M758" t="s">
        <v>351</v>
      </c>
    </row>
    <row r="759" spans="1:13" x14ac:dyDescent="0.25">
      <c r="A759" t="s">
        <v>546</v>
      </c>
      <c r="B759"/>
      <c r="C759" t="s">
        <v>349</v>
      </c>
      <c r="D759"/>
      <c r="E759"/>
      <c r="F759"/>
      <c r="G759">
        <v>12.5</v>
      </c>
      <c r="H759" t="s">
        <v>393</v>
      </c>
      <c r="I759" t="s">
        <v>682</v>
      </c>
      <c r="J759">
        <v>420012</v>
      </c>
      <c r="K759" t="s">
        <v>732</v>
      </c>
      <c r="L759" t="s">
        <v>733</v>
      </c>
      <c r="M759" t="s">
        <v>351</v>
      </c>
    </row>
    <row r="760" spans="1:13" x14ac:dyDescent="0.25">
      <c r="A760" t="s">
        <v>586</v>
      </c>
      <c r="B760"/>
      <c r="C760" t="s">
        <v>349</v>
      </c>
      <c r="D760"/>
      <c r="E760"/>
      <c r="F760"/>
      <c r="G760">
        <v>14.7</v>
      </c>
      <c r="H760" t="s">
        <v>356</v>
      </c>
      <c r="I760" t="s">
        <v>682</v>
      </c>
      <c r="J760">
        <v>420012</v>
      </c>
      <c r="K760" t="s">
        <v>732</v>
      </c>
      <c r="L760" t="s">
        <v>733</v>
      </c>
      <c r="M760" t="s">
        <v>351</v>
      </c>
    </row>
    <row r="761" spans="1:13" x14ac:dyDescent="0.25">
      <c r="A761" t="s">
        <v>371</v>
      </c>
      <c r="B761" t="s">
        <v>860</v>
      </c>
      <c r="C761" t="s">
        <v>349</v>
      </c>
      <c r="D761"/>
      <c r="E761"/>
      <c r="F761" t="s">
        <v>861</v>
      </c>
      <c r="G761">
        <v>16.8</v>
      </c>
      <c r="H761" t="s">
        <v>364</v>
      </c>
      <c r="I761" t="s">
        <v>682</v>
      </c>
      <c r="J761">
        <v>420012</v>
      </c>
      <c r="K761" t="s">
        <v>732</v>
      </c>
      <c r="L761" t="s">
        <v>733</v>
      </c>
      <c r="M761" t="s">
        <v>351</v>
      </c>
    </row>
    <row r="762" spans="1:13" x14ac:dyDescent="0.25">
      <c r="A762" t="s">
        <v>472</v>
      </c>
      <c r="B762"/>
      <c r="C762" t="s">
        <v>349</v>
      </c>
      <c r="D762"/>
      <c r="E762"/>
      <c r="F762" t="s">
        <v>448</v>
      </c>
      <c r="G762">
        <v>21</v>
      </c>
      <c r="H762" t="s">
        <v>367</v>
      </c>
      <c r="I762" t="s">
        <v>682</v>
      </c>
      <c r="J762">
        <v>420012</v>
      </c>
      <c r="K762" t="s">
        <v>732</v>
      </c>
      <c r="L762" t="s">
        <v>733</v>
      </c>
      <c r="M762" t="s">
        <v>351</v>
      </c>
    </row>
    <row r="763" spans="1:13" x14ac:dyDescent="0.25">
      <c r="A763" t="s">
        <v>462</v>
      </c>
      <c r="B763" t="s">
        <v>449</v>
      </c>
      <c r="C763" t="s">
        <v>349</v>
      </c>
      <c r="D763"/>
      <c r="E763"/>
      <c r="F763"/>
      <c r="G763">
        <v>23.4</v>
      </c>
      <c r="H763" t="s">
        <v>356</v>
      </c>
      <c r="I763" t="s">
        <v>682</v>
      </c>
      <c r="J763">
        <v>420012</v>
      </c>
      <c r="K763" t="s">
        <v>732</v>
      </c>
      <c r="L763" t="s">
        <v>733</v>
      </c>
      <c r="M763" t="s">
        <v>351</v>
      </c>
    </row>
    <row r="764" spans="1:13" x14ac:dyDescent="0.25">
      <c r="A764" t="s">
        <v>432</v>
      </c>
      <c r="B764"/>
      <c r="C764" t="s">
        <v>349</v>
      </c>
      <c r="D764"/>
      <c r="E764"/>
      <c r="F764"/>
      <c r="G764">
        <v>38.700000000000003</v>
      </c>
      <c r="H764" t="s">
        <v>368</v>
      </c>
      <c r="I764" t="s">
        <v>682</v>
      </c>
      <c r="J764">
        <v>420012</v>
      </c>
      <c r="K764" t="s">
        <v>732</v>
      </c>
      <c r="L764" t="s">
        <v>733</v>
      </c>
      <c r="M764" t="s">
        <v>351</v>
      </c>
    </row>
    <row r="765" spans="1:13" x14ac:dyDescent="0.25">
      <c r="A765" t="s">
        <v>462</v>
      </c>
      <c r="B765" t="s">
        <v>449</v>
      </c>
      <c r="C765" t="s">
        <v>349</v>
      </c>
      <c r="D765"/>
      <c r="E765"/>
      <c r="F765"/>
      <c r="G765">
        <v>41.4</v>
      </c>
      <c r="H765" t="s">
        <v>356</v>
      </c>
      <c r="I765" t="s">
        <v>682</v>
      </c>
      <c r="J765">
        <v>420012</v>
      </c>
      <c r="K765" t="s">
        <v>732</v>
      </c>
      <c r="L765" t="s">
        <v>733</v>
      </c>
      <c r="M765" t="s">
        <v>351</v>
      </c>
    </row>
    <row r="766" spans="1:13" x14ac:dyDescent="0.25">
      <c r="A766" t="s">
        <v>579</v>
      </c>
      <c r="B766" t="s">
        <v>582</v>
      </c>
      <c r="C766" t="s">
        <v>349</v>
      </c>
      <c r="D766"/>
      <c r="E766"/>
      <c r="F766"/>
      <c r="G766">
        <v>44.4</v>
      </c>
      <c r="H766" t="s">
        <v>364</v>
      </c>
      <c r="I766" t="s">
        <v>682</v>
      </c>
      <c r="J766">
        <v>420012</v>
      </c>
      <c r="K766" t="s">
        <v>732</v>
      </c>
      <c r="L766" t="s">
        <v>733</v>
      </c>
      <c r="M766" t="s">
        <v>351</v>
      </c>
    </row>
    <row r="767" spans="1:13" x14ac:dyDescent="0.25">
      <c r="A767" t="s">
        <v>568</v>
      </c>
      <c r="B767"/>
      <c r="C767" t="s">
        <v>349</v>
      </c>
      <c r="D767"/>
      <c r="E767"/>
      <c r="F767"/>
      <c r="G767">
        <v>59.4</v>
      </c>
      <c r="H767" t="s">
        <v>364</v>
      </c>
      <c r="I767" t="s">
        <v>682</v>
      </c>
      <c r="J767">
        <v>420012</v>
      </c>
      <c r="K767" t="s">
        <v>732</v>
      </c>
      <c r="L767" t="s">
        <v>733</v>
      </c>
      <c r="M767" t="s">
        <v>351</v>
      </c>
    </row>
    <row r="768" spans="1:13" x14ac:dyDescent="0.25">
      <c r="A768" t="s">
        <v>432</v>
      </c>
      <c r="B768"/>
      <c r="C768" t="s">
        <v>349</v>
      </c>
      <c r="D768"/>
      <c r="E768"/>
      <c r="F768"/>
      <c r="G768">
        <v>97.5</v>
      </c>
      <c r="H768" t="s">
        <v>538</v>
      </c>
      <c r="I768" t="s">
        <v>682</v>
      </c>
      <c r="J768">
        <v>420012</v>
      </c>
      <c r="K768" t="s">
        <v>732</v>
      </c>
      <c r="L768" t="s">
        <v>733</v>
      </c>
      <c r="M768" t="s">
        <v>351</v>
      </c>
    </row>
    <row r="769" spans="1:13" x14ac:dyDescent="0.25">
      <c r="A769" t="s">
        <v>438</v>
      </c>
      <c r="B769" t="s">
        <v>439</v>
      </c>
      <c r="C769" t="s">
        <v>349</v>
      </c>
      <c r="D769"/>
      <c r="E769"/>
      <c r="F769"/>
      <c r="G769">
        <v>0.3</v>
      </c>
      <c r="H769" t="s">
        <v>356</v>
      </c>
      <c r="I769" t="s">
        <v>384</v>
      </c>
      <c r="J769">
        <v>420112</v>
      </c>
      <c r="K769" t="s">
        <v>719</v>
      </c>
      <c r="L769" t="s">
        <v>720</v>
      </c>
      <c r="M769" t="s">
        <v>351</v>
      </c>
    </row>
    <row r="770" spans="1:13" x14ac:dyDescent="0.25">
      <c r="A770" t="s">
        <v>517</v>
      </c>
      <c r="B770"/>
      <c r="C770" t="s">
        <v>349</v>
      </c>
      <c r="D770"/>
      <c r="E770"/>
      <c r="F770"/>
      <c r="G770">
        <v>0.5</v>
      </c>
      <c r="H770" t="s">
        <v>356</v>
      </c>
      <c r="I770" t="s">
        <v>384</v>
      </c>
      <c r="J770">
        <v>420112</v>
      </c>
      <c r="K770" t="s">
        <v>719</v>
      </c>
      <c r="L770" t="s">
        <v>720</v>
      </c>
      <c r="M770" t="s">
        <v>351</v>
      </c>
    </row>
    <row r="771" spans="1:13" x14ac:dyDescent="0.25">
      <c r="A771" t="s">
        <v>371</v>
      </c>
      <c r="B771" t="s">
        <v>429</v>
      </c>
      <c r="C771" t="s">
        <v>349</v>
      </c>
      <c r="D771"/>
      <c r="E771"/>
      <c r="F771" t="s">
        <v>448</v>
      </c>
      <c r="G771">
        <v>0.7</v>
      </c>
      <c r="H771" t="s">
        <v>356</v>
      </c>
      <c r="I771" t="s">
        <v>384</v>
      </c>
      <c r="J771">
        <v>420112</v>
      </c>
      <c r="K771" t="s">
        <v>719</v>
      </c>
      <c r="L771" t="s">
        <v>720</v>
      </c>
      <c r="M771" t="s">
        <v>351</v>
      </c>
    </row>
    <row r="772" spans="1:13" x14ac:dyDescent="0.25">
      <c r="A772" t="s">
        <v>493</v>
      </c>
      <c r="B772" t="s">
        <v>750</v>
      </c>
      <c r="C772" t="s">
        <v>349</v>
      </c>
      <c r="D772"/>
      <c r="E772"/>
      <c r="F772"/>
      <c r="G772">
        <v>0.7</v>
      </c>
      <c r="H772" t="s">
        <v>356</v>
      </c>
      <c r="I772" t="s">
        <v>384</v>
      </c>
      <c r="J772">
        <v>420112</v>
      </c>
      <c r="K772" t="s">
        <v>719</v>
      </c>
      <c r="L772" t="s">
        <v>720</v>
      </c>
      <c r="M772" t="s">
        <v>351</v>
      </c>
    </row>
    <row r="773" spans="1:13" x14ac:dyDescent="0.25">
      <c r="A773" t="s">
        <v>468</v>
      </c>
      <c r="B773"/>
      <c r="C773" t="s">
        <v>349</v>
      </c>
      <c r="D773"/>
      <c r="E773"/>
      <c r="F773" t="s">
        <v>457</v>
      </c>
      <c r="G773">
        <v>0.8</v>
      </c>
      <c r="H773" t="s">
        <v>364</v>
      </c>
      <c r="I773" t="s">
        <v>384</v>
      </c>
      <c r="J773">
        <v>420112</v>
      </c>
      <c r="K773" t="s">
        <v>719</v>
      </c>
      <c r="L773" t="s">
        <v>720</v>
      </c>
      <c r="M773" t="s">
        <v>351</v>
      </c>
    </row>
    <row r="774" spans="1:13" x14ac:dyDescent="0.25">
      <c r="A774" t="s">
        <v>462</v>
      </c>
      <c r="B774" t="s">
        <v>756</v>
      </c>
      <c r="C774" t="s">
        <v>349</v>
      </c>
      <c r="D774"/>
      <c r="E774"/>
      <c r="F774"/>
      <c r="G774">
        <v>0.95</v>
      </c>
      <c r="H774" t="s">
        <v>356</v>
      </c>
      <c r="I774" t="s">
        <v>384</v>
      </c>
      <c r="J774">
        <v>420112</v>
      </c>
      <c r="K774" t="s">
        <v>719</v>
      </c>
      <c r="L774" t="s">
        <v>720</v>
      </c>
      <c r="M774" t="s">
        <v>351</v>
      </c>
    </row>
    <row r="775" spans="1:13" x14ac:dyDescent="0.25">
      <c r="A775" t="s">
        <v>517</v>
      </c>
      <c r="B775"/>
      <c r="C775" t="s">
        <v>349</v>
      </c>
      <c r="D775"/>
      <c r="E775"/>
      <c r="F775"/>
      <c r="G775">
        <v>0.95</v>
      </c>
      <c r="H775" t="s">
        <v>356</v>
      </c>
      <c r="I775" t="s">
        <v>384</v>
      </c>
      <c r="J775">
        <v>420112</v>
      </c>
      <c r="K775" t="s">
        <v>719</v>
      </c>
      <c r="L775" t="s">
        <v>720</v>
      </c>
      <c r="M775" t="s">
        <v>351</v>
      </c>
    </row>
    <row r="776" spans="1:13" x14ac:dyDescent="0.25">
      <c r="A776" t="s">
        <v>371</v>
      </c>
      <c r="B776" t="s">
        <v>786</v>
      </c>
      <c r="C776" t="s">
        <v>349</v>
      </c>
      <c r="D776"/>
      <c r="E776"/>
      <c r="F776" t="s">
        <v>412</v>
      </c>
      <c r="G776">
        <v>1.3</v>
      </c>
      <c r="H776" t="s">
        <v>356</v>
      </c>
      <c r="I776" t="s">
        <v>384</v>
      </c>
      <c r="J776">
        <v>420112</v>
      </c>
      <c r="K776" t="s">
        <v>719</v>
      </c>
      <c r="L776" t="s">
        <v>720</v>
      </c>
      <c r="M776" t="s">
        <v>351</v>
      </c>
    </row>
    <row r="777" spans="1:13" x14ac:dyDescent="0.25">
      <c r="A777" t="s">
        <v>413</v>
      </c>
      <c r="B777"/>
      <c r="C777" t="s">
        <v>349</v>
      </c>
      <c r="D777"/>
      <c r="E777"/>
      <c r="F777" t="s">
        <v>418</v>
      </c>
      <c r="G777">
        <v>1.4</v>
      </c>
      <c r="H777" t="s">
        <v>368</v>
      </c>
      <c r="I777" t="s">
        <v>384</v>
      </c>
      <c r="J777">
        <v>420112</v>
      </c>
      <c r="K777" t="s">
        <v>719</v>
      </c>
      <c r="L777" t="s">
        <v>720</v>
      </c>
      <c r="M777" t="s">
        <v>351</v>
      </c>
    </row>
    <row r="778" spans="1:13" x14ac:dyDescent="0.25">
      <c r="A778" t="s">
        <v>423</v>
      </c>
      <c r="B778"/>
      <c r="C778" t="s">
        <v>349</v>
      </c>
      <c r="D778"/>
      <c r="E778"/>
      <c r="F778" t="s">
        <v>424</v>
      </c>
      <c r="G778">
        <v>2</v>
      </c>
      <c r="H778" t="s">
        <v>364</v>
      </c>
      <c r="I778" t="s">
        <v>384</v>
      </c>
      <c r="J778">
        <v>420112</v>
      </c>
      <c r="K778" t="s">
        <v>719</v>
      </c>
      <c r="L778" t="s">
        <v>720</v>
      </c>
      <c r="M778" t="s">
        <v>351</v>
      </c>
    </row>
    <row r="779" spans="1:13" x14ac:dyDescent="0.25">
      <c r="A779" t="s">
        <v>483</v>
      </c>
      <c r="B779"/>
      <c r="C779" t="s">
        <v>349</v>
      </c>
      <c r="D779"/>
      <c r="E779"/>
      <c r="F779" t="s">
        <v>398</v>
      </c>
      <c r="G779">
        <v>2.1</v>
      </c>
      <c r="H779" t="s">
        <v>367</v>
      </c>
      <c r="I779" t="s">
        <v>384</v>
      </c>
      <c r="J779">
        <v>420112</v>
      </c>
      <c r="K779" t="s">
        <v>719</v>
      </c>
      <c r="L779" t="s">
        <v>720</v>
      </c>
      <c r="M779" t="s">
        <v>351</v>
      </c>
    </row>
    <row r="780" spans="1:13" x14ac:dyDescent="0.25">
      <c r="A780" t="s">
        <v>484</v>
      </c>
      <c r="B780"/>
      <c r="C780" t="s">
        <v>349</v>
      </c>
      <c r="D780"/>
      <c r="E780"/>
      <c r="F780" t="s">
        <v>417</v>
      </c>
      <c r="G780">
        <v>2.4</v>
      </c>
      <c r="H780" t="s">
        <v>356</v>
      </c>
      <c r="I780" t="s">
        <v>384</v>
      </c>
      <c r="J780">
        <v>420112</v>
      </c>
      <c r="K780" t="s">
        <v>719</v>
      </c>
      <c r="L780" t="s">
        <v>720</v>
      </c>
      <c r="M780" t="s">
        <v>351</v>
      </c>
    </row>
    <row r="781" spans="1:13" x14ac:dyDescent="0.25">
      <c r="A781" t="s">
        <v>458</v>
      </c>
      <c r="B781"/>
      <c r="C781" t="s">
        <v>349</v>
      </c>
      <c r="D781"/>
      <c r="E781"/>
      <c r="F781" t="s">
        <v>417</v>
      </c>
      <c r="G781">
        <v>2.7</v>
      </c>
      <c r="H781" t="s">
        <v>367</v>
      </c>
      <c r="I781" t="s">
        <v>384</v>
      </c>
      <c r="J781">
        <v>420112</v>
      </c>
      <c r="K781" t="s">
        <v>719</v>
      </c>
      <c r="L781" t="s">
        <v>720</v>
      </c>
      <c r="M781" t="s">
        <v>351</v>
      </c>
    </row>
    <row r="782" spans="1:13" x14ac:dyDescent="0.25">
      <c r="A782" t="s">
        <v>469</v>
      </c>
      <c r="B782" t="s">
        <v>543</v>
      </c>
      <c r="C782" t="s">
        <v>349</v>
      </c>
      <c r="D782"/>
      <c r="E782"/>
      <c r="F782"/>
      <c r="G782">
        <v>6.8</v>
      </c>
      <c r="H782" t="s">
        <v>356</v>
      </c>
      <c r="I782" t="s">
        <v>384</v>
      </c>
      <c r="J782">
        <v>420112</v>
      </c>
      <c r="K782" t="s">
        <v>719</v>
      </c>
      <c r="L782" t="s">
        <v>720</v>
      </c>
      <c r="M782" t="s">
        <v>351</v>
      </c>
    </row>
    <row r="783" spans="1:13" x14ac:dyDescent="0.25">
      <c r="A783" t="s">
        <v>444</v>
      </c>
      <c r="B783"/>
      <c r="C783" t="s">
        <v>349</v>
      </c>
      <c r="D783"/>
      <c r="E783"/>
      <c r="F783" t="s">
        <v>446</v>
      </c>
      <c r="G783">
        <v>8.4</v>
      </c>
      <c r="H783" t="s">
        <v>364</v>
      </c>
      <c r="I783" t="s">
        <v>384</v>
      </c>
      <c r="J783">
        <v>420112</v>
      </c>
      <c r="K783" t="s">
        <v>719</v>
      </c>
      <c r="L783" t="s">
        <v>720</v>
      </c>
      <c r="M783" t="s">
        <v>351</v>
      </c>
    </row>
    <row r="784" spans="1:13" x14ac:dyDescent="0.25">
      <c r="A784" t="s">
        <v>567</v>
      </c>
      <c r="B784"/>
      <c r="C784" t="s">
        <v>349</v>
      </c>
      <c r="D784"/>
      <c r="E784"/>
      <c r="F784"/>
      <c r="G784">
        <v>8.4</v>
      </c>
      <c r="H784" t="s">
        <v>356</v>
      </c>
      <c r="I784" t="s">
        <v>384</v>
      </c>
      <c r="J784">
        <v>420112</v>
      </c>
      <c r="K784" t="s">
        <v>719</v>
      </c>
      <c r="L784" t="s">
        <v>720</v>
      </c>
      <c r="M784" t="s">
        <v>351</v>
      </c>
    </row>
    <row r="785" spans="1:13" x14ac:dyDescent="0.25">
      <c r="A785" t="s">
        <v>880</v>
      </c>
      <c r="B785" t="s">
        <v>881</v>
      </c>
      <c r="C785" t="s">
        <v>349</v>
      </c>
      <c r="D785"/>
      <c r="E785"/>
      <c r="F785"/>
      <c r="G785">
        <v>12</v>
      </c>
      <c r="H785" t="s">
        <v>356</v>
      </c>
      <c r="I785" t="s">
        <v>384</v>
      </c>
      <c r="J785">
        <v>420112</v>
      </c>
      <c r="K785" t="s">
        <v>719</v>
      </c>
      <c r="L785" t="s">
        <v>720</v>
      </c>
      <c r="M785" t="s">
        <v>351</v>
      </c>
    </row>
    <row r="786" spans="1:13" x14ac:dyDescent="0.25">
      <c r="A786" t="s">
        <v>586</v>
      </c>
      <c r="B786"/>
      <c r="C786" t="s">
        <v>349</v>
      </c>
      <c r="D786"/>
      <c r="E786"/>
      <c r="F786"/>
      <c r="G786">
        <v>14.7</v>
      </c>
      <c r="H786" t="s">
        <v>356</v>
      </c>
      <c r="I786" t="s">
        <v>384</v>
      </c>
      <c r="J786">
        <v>420112</v>
      </c>
      <c r="K786" t="s">
        <v>719</v>
      </c>
      <c r="L786" t="s">
        <v>720</v>
      </c>
      <c r="M786" t="s">
        <v>351</v>
      </c>
    </row>
    <row r="787" spans="1:13" x14ac:dyDescent="0.25">
      <c r="A787" t="s">
        <v>371</v>
      </c>
      <c r="B787" t="s">
        <v>883</v>
      </c>
      <c r="C787" t="s">
        <v>349</v>
      </c>
      <c r="D787"/>
      <c r="E787"/>
      <c r="F787" t="s">
        <v>861</v>
      </c>
      <c r="G787">
        <v>16.8</v>
      </c>
      <c r="H787" t="s">
        <v>364</v>
      </c>
      <c r="I787" t="s">
        <v>384</v>
      </c>
      <c r="J787">
        <v>420112</v>
      </c>
      <c r="K787" t="s">
        <v>719</v>
      </c>
      <c r="L787" t="s">
        <v>720</v>
      </c>
      <c r="M787" t="s">
        <v>351</v>
      </c>
    </row>
    <row r="788" spans="1:13" x14ac:dyDescent="0.25">
      <c r="A788" t="s">
        <v>462</v>
      </c>
      <c r="B788" t="s">
        <v>449</v>
      </c>
      <c r="C788" t="s">
        <v>349</v>
      </c>
      <c r="D788"/>
      <c r="E788"/>
      <c r="F788"/>
      <c r="G788">
        <v>23.4</v>
      </c>
      <c r="H788" t="s">
        <v>356</v>
      </c>
      <c r="I788" t="s">
        <v>384</v>
      </c>
      <c r="J788">
        <v>420112</v>
      </c>
      <c r="K788" t="s">
        <v>719</v>
      </c>
      <c r="L788" t="s">
        <v>720</v>
      </c>
      <c r="M788" t="s">
        <v>351</v>
      </c>
    </row>
    <row r="789" spans="1:13" x14ac:dyDescent="0.25">
      <c r="A789" t="s">
        <v>546</v>
      </c>
      <c r="B789"/>
      <c r="C789" t="s">
        <v>349</v>
      </c>
      <c r="D789"/>
      <c r="E789"/>
      <c r="F789"/>
      <c r="G789">
        <v>30</v>
      </c>
      <c r="H789" t="s">
        <v>393</v>
      </c>
      <c r="I789" t="s">
        <v>384</v>
      </c>
      <c r="J789">
        <v>420112</v>
      </c>
      <c r="K789" t="s">
        <v>719</v>
      </c>
      <c r="L789" t="s">
        <v>720</v>
      </c>
      <c r="M789" t="s">
        <v>351</v>
      </c>
    </row>
    <row r="790" spans="1:13" x14ac:dyDescent="0.25">
      <c r="A790" t="s">
        <v>432</v>
      </c>
      <c r="B790"/>
      <c r="C790" t="s">
        <v>349</v>
      </c>
      <c r="D790"/>
      <c r="E790"/>
      <c r="F790"/>
      <c r="G790">
        <v>128.9</v>
      </c>
      <c r="H790" t="s">
        <v>395</v>
      </c>
      <c r="I790" t="s">
        <v>384</v>
      </c>
      <c r="J790">
        <v>420112</v>
      </c>
      <c r="K790" t="s">
        <v>719</v>
      </c>
      <c r="L790" t="s">
        <v>720</v>
      </c>
      <c r="M790" t="s">
        <v>351</v>
      </c>
    </row>
    <row r="791" spans="1:13" x14ac:dyDescent="0.25">
      <c r="A791" t="s">
        <v>568</v>
      </c>
      <c r="B791"/>
      <c r="C791" t="s">
        <v>349</v>
      </c>
      <c r="D791"/>
      <c r="E791"/>
      <c r="F791"/>
      <c r="G791">
        <v>225.7</v>
      </c>
      <c r="H791" t="s">
        <v>393</v>
      </c>
      <c r="I791" t="s">
        <v>384</v>
      </c>
      <c r="J791">
        <v>420112</v>
      </c>
      <c r="K791" t="s">
        <v>719</v>
      </c>
      <c r="L791" t="s">
        <v>720</v>
      </c>
      <c r="M791" t="s">
        <v>351</v>
      </c>
    </row>
    <row r="792" spans="1:13" x14ac:dyDescent="0.25">
      <c r="A792" t="s">
        <v>546</v>
      </c>
      <c r="B792"/>
      <c r="C792" t="s">
        <v>349</v>
      </c>
      <c r="D792"/>
      <c r="E792"/>
      <c r="F792"/>
      <c r="G792">
        <v>20.5</v>
      </c>
      <c r="H792" t="s">
        <v>364</v>
      </c>
      <c r="I792" t="s">
        <v>583</v>
      </c>
      <c r="J792">
        <v>420184</v>
      </c>
      <c r="K792" t="s">
        <v>889</v>
      </c>
      <c r="L792" t="s">
        <v>890</v>
      </c>
      <c r="M792" t="s">
        <v>351</v>
      </c>
    </row>
    <row r="793" spans="1:13" x14ac:dyDescent="0.25">
      <c r="A793" t="s">
        <v>435</v>
      </c>
      <c r="B793" t="s">
        <v>726</v>
      </c>
      <c r="C793" t="s">
        <v>349</v>
      </c>
      <c r="D793"/>
      <c r="E793"/>
      <c r="F793"/>
      <c r="G793">
        <v>0.3</v>
      </c>
      <c r="H793" t="s">
        <v>356</v>
      </c>
      <c r="I793" t="s">
        <v>682</v>
      </c>
      <c r="J793">
        <v>420212</v>
      </c>
      <c r="K793" t="s">
        <v>729</v>
      </c>
      <c r="L793" t="s">
        <v>730</v>
      </c>
      <c r="M793" t="s">
        <v>351</v>
      </c>
    </row>
    <row r="794" spans="1:13" x14ac:dyDescent="0.25">
      <c r="A794" t="s">
        <v>373</v>
      </c>
      <c r="B794" t="s">
        <v>381</v>
      </c>
      <c r="C794" t="s">
        <v>349</v>
      </c>
      <c r="D794"/>
      <c r="E794"/>
      <c r="F794" t="s">
        <v>460</v>
      </c>
      <c r="G794">
        <v>0.5</v>
      </c>
      <c r="H794" t="s">
        <v>356</v>
      </c>
      <c r="I794" t="s">
        <v>682</v>
      </c>
      <c r="J794">
        <v>420212</v>
      </c>
      <c r="K794" t="s">
        <v>729</v>
      </c>
      <c r="L794" t="s">
        <v>730</v>
      </c>
      <c r="M794" t="s">
        <v>351</v>
      </c>
    </row>
    <row r="795" spans="1:13" x14ac:dyDescent="0.25">
      <c r="A795" t="s">
        <v>435</v>
      </c>
      <c r="B795" t="s">
        <v>381</v>
      </c>
      <c r="C795" t="s">
        <v>349</v>
      </c>
      <c r="D795"/>
      <c r="E795"/>
      <c r="F795"/>
      <c r="G795">
        <v>1.1000000000000001</v>
      </c>
      <c r="H795" t="s">
        <v>356</v>
      </c>
      <c r="I795" t="s">
        <v>682</v>
      </c>
      <c r="J795">
        <v>420212</v>
      </c>
      <c r="K795" t="s">
        <v>729</v>
      </c>
      <c r="L795" t="s">
        <v>730</v>
      </c>
      <c r="M795" t="s">
        <v>351</v>
      </c>
    </row>
    <row r="796" spans="1:13" x14ac:dyDescent="0.25">
      <c r="A796" t="s">
        <v>468</v>
      </c>
      <c r="B796"/>
      <c r="C796" t="s">
        <v>349</v>
      </c>
      <c r="D796"/>
      <c r="E796"/>
      <c r="F796" t="s">
        <v>428</v>
      </c>
      <c r="G796">
        <v>1.5</v>
      </c>
      <c r="H796" t="s">
        <v>364</v>
      </c>
      <c r="I796" t="s">
        <v>682</v>
      </c>
      <c r="J796">
        <v>420212</v>
      </c>
      <c r="K796" t="s">
        <v>729</v>
      </c>
      <c r="L796" t="s">
        <v>730</v>
      </c>
      <c r="M796" t="s">
        <v>351</v>
      </c>
    </row>
    <row r="797" spans="1:13" x14ac:dyDescent="0.25">
      <c r="A797" t="s">
        <v>413</v>
      </c>
      <c r="B797"/>
      <c r="C797" t="s">
        <v>349</v>
      </c>
      <c r="D797"/>
      <c r="E797"/>
      <c r="F797" t="s">
        <v>418</v>
      </c>
      <c r="G797">
        <v>1.8</v>
      </c>
      <c r="H797" t="s">
        <v>393</v>
      </c>
      <c r="I797" t="s">
        <v>682</v>
      </c>
      <c r="J797">
        <v>420212</v>
      </c>
      <c r="K797" t="s">
        <v>729</v>
      </c>
      <c r="L797" t="s">
        <v>730</v>
      </c>
      <c r="M797" t="s">
        <v>351</v>
      </c>
    </row>
    <row r="798" spans="1:13" x14ac:dyDescent="0.25">
      <c r="A798" t="s">
        <v>444</v>
      </c>
      <c r="B798"/>
      <c r="C798" t="s">
        <v>349</v>
      </c>
      <c r="D798"/>
      <c r="E798"/>
      <c r="F798" t="s">
        <v>473</v>
      </c>
      <c r="G798">
        <v>2</v>
      </c>
      <c r="H798" t="s">
        <v>356</v>
      </c>
      <c r="I798" t="s">
        <v>682</v>
      </c>
      <c r="J798">
        <v>420212</v>
      </c>
      <c r="K798" t="s">
        <v>729</v>
      </c>
      <c r="L798" t="s">
        <v>730</v>
      </c>
      <c r="M798" t="s">
        <v>351</v>
      </c>
    </row>
    <row r="799" spans="1:13" x14ac:dyDescent="0.25">
      <c r="A799" t="s">
        <v>423</v>
      </c>
      <c r="B799"/>
      <c r="C799" t="s">
        <v>349</v>
      </c>
      <c r="D799"/>
      <c r="E799"/>
      <c r="F799" t="s">
        <v>424</v>
      </c>
      <c r="G799">
        <v>2</v>
      </c>
      <c r="H799" t="s">
        <v>364</v>
      </c>
      <c r="I799" t="s">
        <v>682</v>
      </c>
      <c r="J799">
        <v>420212</v>
      </c>
      <c r="K799" t="s">
        <v>729</v>
      </c>
      <c r="L799" t="s">
        <v>730</v>
      </c>
      <c r="M799" t="s">
        <v>351</v>
      </c>
    </row>
    <row r="800" spans="1:13" x14ac:dyDescent="0.25">
      <c r="A800" t="s">
        <v>373</v>
      </c>
      <c r="B800" t="s">
        <v>502</v>
      </c>
      <c r="C800" t="s">
        <v>349</v>
      </c>
      <c r="D800"/>
      <c r="E800"/>
      <c r="F800" t="s">
        <v>473</v>
      </c>
      <c r="G800">
        <v>2</v>
      </c>
      <c r="H800" t="s">
        <v>364</v>
      </c>
      <c r="I800" t="s">
        <v>682</v>
      </c>
      <c r="J800">
        <v>420212</v>
      </c>
      <c r="K800" t="s">
        <v>729</v>
      </c>
      <c r="L800" t="s">
        <v>730</v>
      </c>
      <c r="M800" t="s">
        <v>351</v>
      </c>
    </row>
    <row r="801" spans="1:13" x14ac:dyDescent="0.25">
      <c r="A801" t="s">
        <v>387</v>
      </c>
      <c r="B801" t="s">
        <v>467</v>
      </c>
      <c r="C801" t="s">
        <v>349</v>
      </c>
      <c r="D801"/>
      <c r="E801"/>
      <c r="F801"/>
      <c r="G801">
        <v>2</v>
      </c>
      <c r="H801" t="s">
        <v>356</v>
      </c>
      <c r="I801" t="s">
        <v>682</v>
      </c>
      <c r="J801">
        <v>420212</v>
      </c>
      <c r="K801" t="s">
        <v>729</v>
      </c>
      <c r="L801" t="s">
        <v>730</v>
      </c>
      <c r="M801" t="s">
        <v>351</v>
      </c>
    </row>
    <row r="802" spans="1:13" x14ac:dyDescent="0.25">
      <c r="A802" t="s">
        <v>387</v>
      </c>
      <c r="B802" t="s">
        <v>388</v>
      </c>
      <c r="C802" t="s">
        <v>349</v>
      </c>
      <c r="D802"/>
      <c r="E802"/>
      <c r="F802"/>
      <c r="G802">
        <v>2.1</v>
      </c>
      <c r="H802" t="s">
        <v>356</v>
      </c>
      <c r="I802" t="s">
        <v>682</v>
      </c>
      <c r="J802">
        <v>420212</v>
      </c>
      <c r="K802" t="s">
        <v>729</v>
      </c>
      <c r="L802" t="s">
        <v>730</v>
      </c>
      <c r="M802" t="s">
        <v>351</v>
      </c>
    </row>
    <row r="803" spans="1:13" x14ac:dyDescent="0.25">
      <c r="A803" t="s">
        <v>485</v>
      </c>
      <c r="B803" t="s">
        <v>381</v>
      </c>
      <c r="C803" t="s">
        <v>349</v>
      </c>
      <c r="D803"/>
      <c r="E803"/>
      <c r="F803"/>
      <c r="G803">
        <v>3.8</v>
      </c>
      <c r="H803" t="s">
        <v>356</v>
      </c>
      <c r="I803" t="s">
        <v>682</v>
      </c>
      <c r="J803">
        <v>420212</v>
      </c>
      <c r="K803" t="s">
        <v>729</v>
      </c>
      <c r="L803" t="s">
        <v>730</v>
      </c>
      <c r="M803" t="s">
        <v>351</v>
      </c>
    </row>
    <row r="804" spans="1:13" x14ac:dyDescent="0.25">
      <c r="A804" t="s">
        <v>484</v>
      </c>
      <c r="B804"/>
      <c r="C804" t="s">
        <v>349</v>
      </c>
      <c r="D804"/>
      <c r="E804"/>
      <c r="F804" t="s">
        <v>464</v>
      </c>
      <c r="G804">
        <v>4.4000000000000004</v>
      </c>
      <c r="H804" t="s">
        <v>356</v>
      </c>
      <c r="I804" t="s">
        <v>682</v>
      </c>
      <c r="J804">
        <v>420212</v>
      </c>
      <c r="K804" t="s">
        <v>729</v>
      </c>
      <c r="L804" t="s">
        <v>730</v>
      </c>
      <c r="M804" t="s">
        <v>351</v>
      </c>
    </row>
    <row r="805" spans="1:13" x14ac:dyDescent="0.25">
      <c r="A805" t="s">
        <v>371</v>
      </c>
      <c r="B805" t="s">
        <v>442</v>
      </c>
      <c r="C805" t="s">
        <v>349</v>
      </c>
      <c r="D805"/>
      <c r="E805"/>
      <c r="F805" t="s">
        <v>377</v>
      </c>
      <c r="G805">
        <v>6</v>
      </c>
      <c r="H805" t="s">
        <v>356</v>
      </c>
      <c r="I805" t="s">
        <v>682</v>
      </c>
      <c r="J805">
        <v>420212</v>
      </c>
      <c r="K805" t="s">
        <v>729</v>
      </c>
      <c r="L805" t="s">
        <v>730</v>
      </c>
      <c r="M805" t="s">
        <v>351</v>
      </c>
    </row>
    <row r="806" spans="1:13" x14ac:dyDescent="0.25">
      <c r="A806" t="s">
        <v>371</v>
      </c>
      <c r="B806" t="s">
        <v>372</v>
      </c>
      <c r="C806" t="s">
        <v>349</v>
      </c>
      <c r="D806"/>
      <c r="E806"/>
      <c r="F806" t="s">
        <v>504</v>
      </c>
      <c r="G806">
        <v>6.2</v>
      </c>
      <c r="H806" t="s">
        <v>356</v>
      </c>
      <c r="I806" t="s">
        <v>682</v>
      </c>
      <c r="J806">
        <v>420212</v>
      </c>
      <c r="K806" t="s">
        <v>729</v>
      </c>
      <c r="L806" t="s">
        <v>730</v>
      </c>
      <c r="M806" t="s">
        <v>351</v>
      </c>
    </row>
    <row r="807" spans="1:13" x14ac:dyDescent="0.25">
      <c r="A807" t="s">
        <v>546</v>
      </c>
      <c r="B807"/>
      <c r="C807" t="s">
        <v>349</v>
      </c>
      <c r="D807"/>
      <c r="E807"/>
      <c r="F807"/>
      <c r="G807">
        <v>6.4</v>
      </c>
      <c r="H807" t="s">
        <v>356</v>
      </c>
      <c r="I807" t="s">
        <v>682</v>
      </c>
      <c r="J807">
        <v>420212</v>
      </c>
      <c r="K807" t="s">
        <v>729</v>
      </c>
      <c r="L807" t="s">
        <v>730</v>
      </c>
      <c r="M807" t="s">
        <v>351</v>
      </c>
    </row>
    <row r="808" spans="1:13" x14ac:dyDescent="0.25">
      <c r="A808" t="s">
        <v>444</v>
      </c>
      <c r="B808"/>
      <c r="C808" t="s">
        <v>349</v>
      </c>
      <c r="D808"/>
      <c r="E808"/>
      <c r="F808" t="s">
        <v>721</v>
      </c>
      <c r="G808">
        <v>8</v>
      </c>
      <c r="H808" t="s">
        <v>356</v>
      </c>
      <c r="I808" t="s">
        <v>682</v>
      </c>
      <c r="J808">
        <v>420212</v>
      </c>
      <c r="K808" t="s">
        <v>729</v>
      </c>
      <c r="L808" t="s">
        <v>730</v>
      </c>
      <c r="M808" t="s">
        <v>351</v>
      </c>
    </row>
    <row r="809" spans="1:13" x14ac:dyDescent="0.25">
      <c r="A809" t="s">
        <v>371</v>
      </c>
      <c r="B809" t="s">
        <v>860</v>
      </c>
      <c r="C809" t="s">
        <v>349</v>
      </c>
      <c r="D809"/>
      <c r="E809"/>
      <c r="F809" t="s">
        <v>861</v>
      </c>
      <c r="G809">
        <v>8.4</v>
      </c>
      <c r="H809" t="s">
        <v>356</v>
      </c>
      <c r="I809" t="s">
        <v>682</v>
      </c>
      <c r="J809">
        <v>420212</v>
      </c>
      <c r="K809" t="s">
        <v>729</v>
      </c>
      <c r="L809" t="s">
        <v>730</v>
      </c>
      <c r="M809" t="s">
        <v>351</v>
      </c>
    </row>
    <row r="810" spans="1:13" x14ac:dyDescent="0.25">
      <c r="A810" t="s">
        <v>553</v>
      </c>
      <c r="B810"/>
      <c r="C810" t="s">
        <v>349</v>
      </c>
      <c r="D810"/>
      <c r="E810"/>
      <c r="F810" t="s">
        <v>862</v>
      </c>
      <c r="G810">
        <v>8.5</v>
      </c>
      <c r="H810" t="s">
        <v>356</v>
      </c>
      <c r="I810" t="s">
        <v>682</v>
      </c>
      <c r="J810">
        <v>420212</v>
      </c>
      <c r="K810" t="s">
        <v>729</v>
      </c>
      <c r="L810" t="s">
        <v>730</v>
      </c>
      <c r="M810" t="s">
        <v>351</v>
      </c>
    </row>
    <row r="811" spans="1:13" x14ac:dyDescent="0.25">
      <c r="A811" t="s">
        <v>432</v>
      </c>
      <c r="B811"/>
      <c r="C811" t="s">
        <v>349</v>
      </c>
      <c r="D811"/>
      <c r="E811"/>
      <c r="F811"/>
      <c r="G811">
        <v>11.2</v>
      </c>
      <c r="H811" t="s">
        <v>367</v>
      </c>
      <c r="I811" t="s">
        <v>682</v>
      </c>
      <c r="J811">
        <v>420212</v>
      </c>
      <c r="K811" t="s">
        <v>729</v>
      </c>
      <c r="L811" t="s">
        <v>730</v>
      </c>
      <c r="M811" t="s">
        <v>351</v>
      </c>
    </row>
    <row r="812" spans="1:13" x14ac:dyDescent="0.25">
      <c r="A812" t="s">
        <v>579</v>
      </c>
      <c r="B812" t="s">
        <v>582</v>
      </c>
      <c r="C812" t="s">
        <v>349</v>
      </c>
      <c r="D812"/>
      <c r="E812"/>
      <c r="F812"/>
      <c r="G812">
        <v>22.2</v>
      </c>
      <c r="H812" t="s">
        <v>356</v>
      </c>
      <c r="I812" t="s">
        <v>682</v>
      </c>
      <c r="J812">
        <v>420212</v>
      </c>
      <c r="K812" t="s">
        <v>729</v>
      </c>
      <c r="L812" t="s">
        <v>730</v>
      </c>
      <c r="M812" t="s">
        <v>351</v>
      </c>
    </row>
    <row r="813" spans="1:13" x14ac:dyDescent="0.25">
      <c r="A813" t="s">
        <v>462</v>
      </c>
      <c r="B813" t="s">
        <v>449</v>
      </c>
      <c r="C813" t="s">
        <v>349</v>
      </c>
      <c r="D813"/>
      <c r="E813"/>
      <c r="F813"/>
      <c r="G813">
        <v>23.4</v>
      </c>
      <c r="H813" t="s">
        <v>356</v>
      </c>
      <c r="I813" t="s">
        <v>682</v>
      </c>
      <c r="J813">
        <v>420212</v>
      </c>
      <c r="K813" t="s">
        <v>729</v>
      </c>
      <c r="L813" t="s">
        <v>730</v>
      </c>
      <c r="M813" t="s">
        <v>351</v>
      </c>
    </row>
    <row r="814" spans="1:13" x14ac:dyDescent="0.25">
      <c r="A814" t="s">
        <v>462</v>
      </c>
      <c r="B814" t="s">
        <v>449</v>
      </c>
      <c r="C814" t="s">
        <v>349</v>
      </c>
      <c r="D814"/>
      <c r="E814"/>
      <c r="F814"/>
      <c r="G814">
        <v>41.1</v>
      </c>
      <c r="H814" t="s">
        <v>356</v>
      </c>
      <c r="I814" t="s">
        <v>682</v>
      </c>
      <c r="J814">
        <v>420212</v>
      </c>
      <c r="K814" t="s">
        <v>729</v>
      </c>
      <c r="L814" t="s">
        <v>730</v>
      </c>
      <c r="M814" t="s">
        <v>351</v>
      </c>
    </row>
    <row r="815" spans="1:13" x14ac:dyDescent="0.25">
      <c r="A815" t="s">
        <v>510</v>
      </c>
      <c r="B815"/>
      <c r="C815" t="s">
        <v>349</v>
      </c>
      <c r="D815"/>
      <c r="E815"/>
      <c r="F815" t="s">
        <v>721</v>
      </c>
      <c r="G815">
        <v>42.3</v>
      </c>
      <c r="H815" t="s">
        <v>364</v>
      </c>
      <c r="I815" t="s">
        <v>682</v>
      </c>
      <c r="J815">
        <v>420212</v>
      </c>
      <c r="K815" t="s">
        <v>729</v>
      </c>
      <c r="L815" t="s">
        <v>730</v>
      </c>
      <c r="M815" t="s">
        <v>351</v>
      </c>
    </row>
    <row r="816" spans="1:13" x14ac:dyDescent="0.25">
      <c r="A816" t="s">
        <v>546</v>
      </c>
      <c r="B816"/>
      <c r="C816" t="s">
        <v>349</v>
      </c>
      <c r="D816"/>
      <c r="E816"/>
      <c r="F816"/>
      <c r="G816">
        <v>55</v>
      </c>
      <c r="H816" t="s">
        <v>523</v>
      </c>
      <c r="I816" t="s">
        <v>682</v>
      </c>
      <c r="J816">
        <v>420212</v>
      </c>
      <c r="K816" t="s">
        <v>729</v>
      </c>
      <c r="L816" t="s">
        <v>730</v>
      </c>
      <c r="M816" t="s">
        <v>351</v>
      </c>
    </row>
    <row r="817" spans="1:13" x14ac:dyDescent="0.25">
      <c r="A817" t="s">
        <v>432</v>
      </c>
      <c r="B817"/>
      <c r="C817" t="s">
        <v>349</v>
      </c>
      <c r="D817"/>
      <c r="E817"/>
      <c r="F817"/>
      <c r="G817">
        <v>87.4</v>
      </c>
      <c r="H817" t="s">
        <v>524</v>
      </c>
      <c r="I817" t="s">
        <v>682</v>
      </c>
      <c r="J817">
        <v>420212</v>
      </c>
      <c r="K817" t="s">
        <v>729</v>
      </c>
      <c r="L817" t="s">
        <v>730</v>
      </c>
      <c r="M817" t="s">
        <v>351</v>
      </c>
    </row>
    <row r="818" spans="1:13" x14ac:dyDescent="0.25">
      <c r="A818" t="s">
        <v>472</v>
      </c>
      <c r="B818"/>
      <c r="C818" t="s">
        <v>349</v>
      </c>
      <c r="D818"/>
      <c r="E818"/>
      <c r="F818" t="s">
        <v>500</v>
      </c>
      <c r="G818">
        <v>90</v>
      </c>
      <c r="H818" t="s">
        <v>393</v>
      </c>
      <c r="I818" t="s">
        <v>682</v>
      </c>
      <c r="J818">
        <v>420212</v>
      </c>
      <c r="K818" t="s">
        <v>729</v>
      </c>
      <c r="L818" t="s">
        <v>730</v>
      </c>
      <c r="M818" t="s">
        <v>351</v>
      </c>
    </row>
    <row r="819" spans="1:13" x14ac:dyDescent="0.25">
      <c r="A819" t="s">
        <v>453</v>
      </c>
      <c r="B819" t="s">
        <v>526</v>
      </c>
      <c r="C819" t="s">
        <v>349</v>
      </c>
      <c r="D819"/>
      <c r="E819"/>
      <c r="F819"/>
      <c r="G819">
        <v>1</v>
      </c>
      <c r="H819" t="s">
        <v>356</v>
      </c>
      <c r="I819" t="s">
        <v>705</v>
      </c>
      <c r="J819">
        <v>420306</v>
      </c>
      <c r="K819" t="s">
        <v>775</v>
      </c>
      <c r="L819" t="s">
        <v>776</v>
      </c>
      <c r="M819" t="s">
        <v>351</v>
      </c>
    </row>
    <row r="820" spans="1:13" x14ac:dyDescent="0.25">
      <c r="A820" t="s">
        <v>517</v>
      </c>
      <c r="B820"/>
      <c r="C820" t="s">
        <v>349</v>
      </c>
      <c r="D820"/>
      <c r="E820"/>
      <c r="F820"/>
      <c r="G820">
        <v>1</v>
      </c>
      <c r="H820" t="s">
        <v>356</v>
      </c>
      <c r="I820" t="s">
        <v>705</v>
      </c>
      <c r="J820">
        <v>420306</v>
      </c>
      <c r="K820" t="s">
        <v>775</v>
      </c>
      <c r="L820" t="s">
        <v>776</v>
      </c>
      <c r="M820" t="s">
        <v>351</v>
      </c>
    </row>
    <row r="821" spans="1:13" x14ac:dyDescent="0.25">
      <c r="A821" t="s">
        <v>413</v>
      </c>
      <c r="B821"/>
      <c r="C821" t="s">
        <v>349</v>
      </c>
      <c r="D821"/>
      <c r="E821"/>
      <c r="F821" t="s">
        <v>418</v>
      </c>
      <c r="G821">
        <v>1.2</v>
      </c>
      <c r="H821" t="s">
        <v>368</v>
      </c>
      <c r="I821" t="s">
        <v>705</v>
      </c>
      <c r="J821">
        <v>420306</v>
      </c>
      <c r="K821" t="s">
        <v>775</v>
      </c>
      <c r="L821" t="s">
        <v>776</v>
      </c>
      <c r="M821" t="s">
        <v>351</v>
      </c>
    </row>
    <row r="822" spans="1:13" x14ac:dyDescent="0.25">
      <c r="A822" t="s">
        <v>423</v>
      </c>
      <c r="B822"/>
      <c r="C822" t="s">
        <v>349</v>
      </c>
      <c r="D822"/>
      <c r="E822"/>
      <c r="F822" t="s">
        <v>424</v>
      </c>
      <c r="G822">
        <v>1.2</v>
      </c>
      <c r="H822" t="s">
        <v>364</v>
      </c>
      <c r="I822" t="s">
        <v>705</v>
      </c>
      <c r="J822">
        <v>420306</v>
      </c>
      <c r="K822" t="s">
        <v>775</v>
      </c>
      <c r="L822" t="s">
        <v>776</v>
      </c>
      <c r="M822" t="s">
        <v>351</v>
      </c>
    </row>
    <row r="823" spans="1:13" x14ac:dyDescent="0.25">
      <c r="A823" t="s">
        <v>792</v>
      </c>
      <c r="B823" t="s">
        <v>793</v>
      </c>
      <c r="C823" t="s">
        <v>349</v>
      </c>
      <c r="D823"/>
      <c r="E823"/>
      <c r="F823"/>
      <c r="G823">
        <v>1.5</v>
      </c>
      <c r="H823" t="s">
        <v>364</v>
      </c>
      <c r="I823" t="s">
        <v>705</v>
      </c>
      <c r="J823">
        <v>420306</v>
      </c>
      <c r="K823" t="s">
        <v>775</v>
      </c>
      <c r="L823" t="s">
        <v>776</v>
      </c>
      <c r="M823" t="s">
        <v>351</v>
      </c>
    </row>
    <row r="824" spans="1:13" x14ac:dyDescent="0.25">
      <c r="A824" t="s">
        <v>453</v>
      </c>
      <c r="B824" t="s">
        <v>526</v>
      </c>
      <c r="C824" t="s">
        <v>349</v>
      </c>
      <c r="D824"/>
      <c r="E824"/>
      <c r="F824"/>
      <c r="G824">
        <v>1.5</v>
      </c>
      <c r="H824" t="s">
        <v>364</v>
      </c>
      <c r="I824" t="s">
        <v>705</v>
      </c>
      <c r="J824">
        <v>420306</v>
      </c>
      <c r="K824" t="s">
        <v>775</v>
      </c>
      <c r="L824" t="s">
        <v>776</v>
      </c>
      <c r="M824" t="s">
        <v>351</v>
      </c>
    </row>
    <row r="825" spans="1:13" x14ac:dyDescent="0.25">
      <c r="A825" t="s">
        <v>453</v>
      </c>
      <c r="B825" t="s">
        <v>522</v>
      </c>
      <c r="C825" t="s">
        <v>349</v>
      </c>
      <c r="D825"/>
      <c r="E825"/>
      <c r="F825"/>
      <c r="G825">
        <v>1.5</v>
      </c>
      <c r="H825" t="s">
        <v>356</v>
      </c>
      <c r="I825" t="s">
        <v>705</v>
      </c>
      <c r="J825">
        <v>420306</v>
      </c>
      <c r="K825" t="s">
        <v>775</v>
      </c>
      <c r="L825" t="s">
        <v>776</v>
      </c>
      <c r="M825" t="s">
        <v>351</v>
      </c>
    </row>
    <row r="826" spans="1:13" x14ac:dyDescent="0.25">
      <c r="A826" t="s">
        <v>435</v>
      </c>
      <c r="B826" t="s">
        <v>505</v>
      </c>
      <c r="C826" t="s">
        <v>349</v>
      </c>
      <c r="D826"/>
      <c r="E826"/>
      <c r="F826"/>
      <c r="G826">
        <v>1.8</v>
      </c>
      <c r="H826" t="s">
        <v>364</v>
      </c>
      <c r="I826" t="s">
        <v>705</v>
      </c>
      <c r="J826">
        <v>420306</v>
      </c>
      <c r="K826" t="s">
        <v>775</v>
      </c>
      <c r="L826" t="s">
        <v>776</v>
      </c>
      <c r="M826" t="s">
        <v>351</v>
      </c>
    </row>
    <row r="827" spans="1:13" x14ac:dyDescent="0.25">
      <c r="A827" t="s">
        <v>485</v>
      </c>
      <c r="B827" t="s">
        <v>537</v>
      </c>
      <c r="C827" t="s">
        <v>349</v>
      </c>
      <c r="D827"/>
      <c r="E827"/>
      <c r="F827"/>
      <c r="G827">
        <v>2.1</v>
      </c>
      <c r="H827" t="s">
        <v>356</v>
      </c>
      <c r="I827" t="s">
        <v>705</v>
      </c>
      <c r="J827">
        <v>420306</v>
      </c>
      <c r="K827" t="s">
        <v>775</v>
      </c>
      <c r="L827" t="s">
        <v>776</v>
      </c>
      <c r="M827" t="s">
        <v>351</v>
      </c>
    </row>
    <row r="828" spans="1:13" x14ac:dyDescent="0.25">
      <c r="A828" t="s">
        <v>387</v>
      </c>
      <c r="B828" t="s">
        <v>467</v>
      </c>
      <c r="C828" t="s">
        <v>349</v>
      </c>
      <c r="D828"/>
      <c r="E828"/>
      <c r="F828"/>
      <c r="G828">
        <v>2.2999999999999998</v>
      </c>
      <c r="H828" t="s">
        <v>356</v>
      </c>
      <c r="I828" t="s">
        <v>705</v>
      </c>
      <c r="J828">
        <v>420306</v>
      </c>
      <c r="K828" t="s">
        <v>775</v>
      </c>
      <c r="L828" t="s">
        <v>776</v>
      </c>
      <c r="M828" t="s">
        <v>351</v>
      </c>
    </row>
    <row r="829" spans="1:13" x14ac:dyDescent="0.25">
      <c r="A829" t="s">
        <v>483</v>
      </c>
      <c r="B829"/>
      <c r="C829" t="s">
        <v>349</v>
      </c>
      <c r="D829"/>
      <c r="E829"/>
      <c r="F829" t="s">
        <v>712</v>
      </c>
      <c r="G829">
        <v>2.4</v>
      </c>
      <c r="H829" t="s">
        <v>368</v>
      </c>
      <c r="I829" t="s">
        <v>705</v>
      </c>
      <c r="J829">
        <v>420306</v>
      </c>
      <c r="K829" t="s">
        <v>775</v>
      </c>
      <c r="L829" t="s">
        <v>776</v>
      </c>
      <c r="M829" t="s">
        <v>351</v>
      </c>
    </row>
    <row r="830" spans="1:13" x14ac:dyDescent="0.25">
      <c r="A830" t="s">
        <v>517</v>
      </c>
      <c r="B830"/>
      <c r="C830" t="s">
        <v>349</v>
      </c>
      <c r="D830"/>
      <c r="E830"/>
      <c r="F830"/>
      <c r="G830">
        <v>3</v>
      </c>
      <c r="H830" t="s">
        <v>364</v>
      </c>
      <c r="I830" t="s">
        <v>705</v>
      </c>
      <c r="J830">
        <v>420306</v>
      </c>
      <c r="K830" t="s">
        <v>775</v>
      </c>
      <c r="L830" t="s">
        <v>776</v>
      </c>
      <c r="M830" t="s">
        <v>351</v>
      </c>
    </row>
    <row r="831" spans="1:13" x14ac:dyDescent="0.25">
      <c r="A831" t="s">
        <v>498</v>
      </c>
      <c r="B831"/>
      <c r="C831" t="s">
        <v>349</v>
      </c>
      <c r="D831"/>
      <c r="E831"/>
      <c r="F831" t="s">
        <v>500</v>
      </c>
      <c r="G831">
        <v>3.9</v>
      </c>
      <c r="H831" t="s">
        <v>368</v>
      </c>
      <c r="I831" t="s">
        <v>705</v>
      </c>
      <c r="J831">
        <v>420306</v>
      </c>
      <c r="K831" t="s">
        <v>775</v>
      </c>
      <c r="L831" t="s">
        <v>776</v>
      </c>
      <c r="M831" t="s">
        <v>351</v>
      </c>
    </row>
    <row r="832" spans="1:13" x14ac:dyDescent="0.25">
      <c r="A832" t="s">
        <v>444</v>
      </c>
      <c r="B832"/>
      <c r="C832" t="s">
        <v>349</v>
      </c>
      <c r="D832"/>
      <c r="E832"/>
      <c r="F832" t="s">
        <v>828</v>
      </c>
      <c r="G832">
        <v>6.5</v>
      </c>
      <c r="H832" t="s">
        <v>356</v>
      </c>
      <c r="I832" t="s">
        <v>705</v>
      </c>
      <c r="J832">
        <v>420306</v>
      </c>
      <c r="K832" t="s">
        <v>775</v>
      </c>
      <c r="L832" t="s">
        <v>776</v>
      </c>
      <c r="M832" t="s">
        <v>351</v>
      </c>
    </row>
    <row r="833" spans="1:13" x14ac:dyDescent="0.25">
      <c r="A833" t="s">
        <v>468</v>
      </c>
      <c r="B833"/>
      <c r="C833" t="s">
        <v>349</v>
      </c>
      <c r="D833"/>
      <c r="E833"/>
      <c r="F833" t="s">
        <v>428</v>
      </c>
      <c r="G833">
        <v>17.100000000000001</v>
      </c>
      <c r="H833" t="s">
        <v>620</v>
      </c>
      <c r="I833" t="s">
        <v>705</v>
      </c>
      <c r="J833">
        <v>420306</v>
      </c>
      <c r="K833" t="s">
        <v>775</v>
      </c>
      <c r="L833" t="s">
        <v>776</v>
      </c>
      <c r="M833" t="s">
        <v>351</v>
      </c>
    </row>
    <row r="834" spans="1:13" x14ac:dyDescent="0.25">
      <c r="A834" t="s">
        <v>493</v>
      </c>
      <c r="B834" t="s">
        <v>594</v>
      </c>
      <c r="C834" t="s">
        <v>349</v>
      </c>
      <c r="D834"/>
      <c r="E834"/>
      <c r="F834"/>
      <c r="G834">
        <v>20</v>
      </c>
      <c r="H834" t="s">
        <v>356</v>
      </c>
      <c r="I834" t="s">
        <v>705</v>
      </c>
      <c r="J834">
        <v>420306</v>
      </c>
      <c r="K834" t="s">
        <v>775</v>
      </c>
      <c r="L834" t="s">
        <v>776</v>
      </c>
      <c r="M834" t="s">
        <v>351</v>
      </c>
    </row>
    <row r="835" spans="1:13" x14ac:dyDescent="0.25">
      <c r="A835" t="s">
        <v>462</v>
      </c>
      <c r="B835" t="s">
        <v>449</v>
      </c>
      <c r="C835" t="s">
        <v>349</v>
      </c>
      <c r="D835"/>
      <c r="E835"/>
      <c r="F835"/>
      <c r="G835">
        <v>46.8</v>
      </c>
      <c r="H835" t="s">
        <v>364</v>
      </c>
      <c r="I835" t="s">
        <v>705</v>
      </c>
      <c r="J835">
        <v>420306</v>
      </c>
      <c r="K835" t="s">
        <v>775</v>
      </c>
      <c r="L835" t="s">
        <v>776</v>
      </c>
      <c r="M835" t="s">
        <v>351</v>
      </c>
    </row>
    <row r="836" spans="1:13" x14ac:dyDescent="0.25">
      <c r="A836" t="s">
        <v>546</v>
      </c>
      <c r="B836"/>
      <c r="C836" t="s">
        <v>349</v>
      </c>
      <c r="D836"/>
      <c r="E836"/>
      <c r="F836"/>
      <c r="G836">
        <v>57.3</v>
      </c>
      <c r="H836" t="s">
        <v>620</v>
      </c>
      <c r="I836" t="s">
        <v>705</v>
      </c>
      <c r="J836">
        <v>420306</v>
      </c>
      <c r="K836" t="s">
        <v>775</v>
      </c>
      <c r="L836" t="s">
        <v>776</v>
      </c>
      <c r="M836" t="s">
        <v>351</v>
      </c>
    </row>
    <row r="837" spans="1:13" x14ac:dyDescent="0.25">
      <c r="A837" t="s">
        <v>472</v>
      </c>
      <c r="B837"/>
      <c r="C837" t="s">
        <v>349</v>
      </c>
      <c r="D837"/>
      <c r="E837"/>
      <c r="F837" t="s">
        <v>473</v>
      </c>
      <c r="G837">
        <v>67.400000000000006</v>
      </c>
      <c r="H837" t="s">
        <v>368</v>
      </c>
      <c r="I837" t="s">
        <v>705</v>
      </c>
      <c r="J837">
        <v>420306</v>
      </c>
      <c r="K837" t="s">
        <v>775</v>
      </c>
      <c r="L837" t="s">
        <v>776</v>
      </c>
      <c r="M837" t="s">
        <v>351</v>
      </c>
    </row>
    <row r="838" spans="1:13" x14ac:dyDescent="0.25">
      <c r="A838" t="s">
        <v>484</v>
      </c>
      <c r="B838"/>
      <c r="C838" t="s">
        <v>349</v>
      </c>
      <c r="D838"/>
      <c r="E838"/>
      <c r="F838" t="s">
        <v>417</v>
      </c>
      <c r="G838">
        <v>74.5</v>
      </c>
      <c r="H838" t="s">
        <v>368</v>
      </c>
      <c r="I838" t="s">
        <v>705</v>
      </c>
      <c r="J838">
        <v>420306</v>
      </c>
      <c r="K838" t="s">
        <v>775</v>
      </c>
      <c r="L838" t="s">
        <v>776</v>
      </c>
      <c r="M838" t="s">
        <v>351</v>
      </c>
    </row>
    <row r="839" spans="1:13" x14ac:dyDescent="0.25">
      <c r="A839" t="s">
        <v>568</v>
      </c>
      <c r="B839"/>
      <c r="C839" t="s">
        <v>349</v>
      </c>
      <c r="D839"/>
      <c r="E839"/>
      <c r="F839"/>
      <c r="G839">
        <v>112.5</v>
      </c>
      <c r="H839" t="s">
        <v>364</v>
      </c>
      <c r="I839" t="s">
        <v>705</v>
      </c>
      <c r="J839">
        <v>420306</v>
      </c>
      <c r="K839" t="s">
        <v>775</v>
      </c>
      <c r="L839" t="s">
        <v>776</v>
      </c>
      <c r="M839" t="s">
        <v>351</v>
      </c>
    </row>
    <row r="840" spans="1:13" x14ac:dyDescent="0.25">
      <c r="A840" t="s">
        <v>432</v>
      </c>
      <c r="B840"/>
      <c r="C840" t="s">
        <v>349</v>
      </c>
      <c r="D840"/>
      <c r="E840"/>
      <c r="F840"/>
      <c r="G840">
        <v>141.6</v>
      </c>
      <c r="H840" t="s">
        <v>400</v>
      </c>
      <c r="I840" t="s">
        <v>705</v>
      </c>
      <c r="J840">
        <v>420306</v>
      </c>
      <c r="K840" t="s">
        <v>775</v>
      </c>
      <c r="L840" t="s">
        <v>776</v>
      </c>
      <c r="M840" t="s">
        <v>351</v>
      </c>
    </row>
    <row r="841" spans="1:13" x14ac:dyDescent="0.25">
      <c r="A841" t="s">
        <v>386</v>
      </c>
      <c r="B841" t="s">
        <v>478</v>
      </c>
      <c r="C841" t="s">
        <v>349</v>
      </c>
      <c r="D841"/>
      <c r="E841"/>
      <c r="F841"/>
      <c r="G841">
        <v>0.4</v>
      </c>
      <c r="H841" t="s">
        <v>356</v>
      </c>
      <c r="I841" t="s">
        <v>682</v>
      </c>
      <c r="J841">
        <v>420308</v>
      </c>
      <c r="K841" t="s">
        <v>736</v>
      </c>
      <c r="L841" t="s">
        <v>737</v>
      </c>
      <c r="M841" t="s">
        <v>351</v>
      </c>
    </row>
    <row r="842" spans="1:13" x14ac:dyDescent="0.25">
      <c r="A842" t="s">
        <v>484</v>
      </c>
      <c r="B842"/>
      <c r="C842" t="s">
        <v>349</v>
      </c>
      <c r="D842"/>
      <c r="E842"/>
      <c r="F842" t="s">
        <v>459</v>
      </c>
      <c r="G842">
        <v>0.6</v>
      </c>
      <c r="H842" t="s">
        <v>356</v>
      </c>
      <c r="I842" t="s">
        <v>682</v>
      </c>
      <c r="J842">
        <v>420308</v>
      </c>
      <c r="K842" t="s">
        <v>736</v>
      </c>
      <c r="L842" t="s">
        <v>737</v>
      </c>
      <c r="M842" t="s">
        <v>351</v>
      </c>
    </row>
    <row r="843" spans="1:13" x14ac:dyDescent="0.25">
      <c r="A843" t="s">
        <v>373</v>
      </c>
      <c r="B843" t="s">
        <v>471</v>
      </c>
      <c r="C843" t="s">
        <v>349</v>
      </c>
      <c r="D843"/>
      <c r="E843"/>
      <c r="F843" t="s">
        <v>415</v>
      </c>
      <c r="G843">
        <v>0.6</v>
      </c>
      <c r="H843" t="s">
        <v>356</v>
      </c>
      <c r="I843" t="s">
        <v>682</v>
      </c>
      <c r="J843">
        <v>420308</v>
      </c>
      <c r="K843" t="s">
        <v>736</v>
      </c>
      <c r="L843" t="s">
        <v>737</v>
      </c>
      <c r="M843" t="s">
        <v>351</v>
      </c>
    </row>
    <row r="844" spans="1:13" x14ac:dyDescent="0.25">
      <c r="A844" t="s">
        <v>371</v>
      </c>
      <c r="B844" t="s">
        <v>429</v>
      </c>
      <c r="C844" t="s">
        <v>349</v>
      </c>
      <c r="D844"/>
      <c r="E844"/>
      <c r="F844" t="s">
        <v>555</v>
      </c>
      <c r="G844">
        <v>0.7</v>
      </c>
      <c r="H844" t="s">
        <v>356</v>
      </c>
      <c r="I844" t="s">
        <v>682</v>
      </c>
      <c r="J844">
        <v>420308</v>
      </c>
      <c r="K844" t="s">
        <v>736</v>
      </c>
      <c r="L844" t="s">
        <v>737</v>
      </c>
      <c r="M844" t="s">
        <v>351</v>
      </c>
    </row>
    <row r="845" spans="1:13" x14ac:dyDescent="0.25">
      <c r="A845" t="s">
        <v>371</v>
      </c>
      <c r="B845" t="s">
        <v>429</v>
      </c>
      <c r="C845" t="s">
        <v>349</v>
      </c>
      <c r="D845"/>
      <c r="E845"/>
      <c r="F845" t="s">
        <v>448</v>
      </c>
      <c r="G845">
        <v>0.7</v>
      </c>
      <c r="H845" t="s">
        <v>356</v>
      </c>
      <c r="I845" t="s">
        <v>682</v>
      </c>
      <c r="J845">
        <v>420308</v>
      </c>
      <c r="K845" t="s">
        <v>736</v>
      </c>
      <c r="L845" t="s">
        <v>737</v>
      </c>
      <c r="M845" t="s">
        <v>351</v>
      </c>
    </row>
    <row r="846" spans="1:13" x14ac:dyDescent="0.25">
      <c r="A846" t="s">
        <v>413</v>
      </c>
      <c r="B846"/>
      <c r="C846" t="s">
        <v>349</v>
      </c>
      <c r="D846"/>
      <c r="E846"/>
      <c r="F846" t="s">
        <v>418</v>
      </c>
      <c r="G846">
        <v>0.9</v>
      </c>
      <c r="H846" t="s">
        <v>367</v>
      </c>
      <c r="I846" t="s">
        <v>682</v>
      </c>
      <c r="J846">
        <v>420308</v>
      </c>
      <c r="K846" t="s">
        <v>736</v>
      </c>
      <c r="L846" t="s">
        <v>737</v>
      </c>
      <c r="M846" t="s">
        <v>351</v>
      </c>
    </row>
    <row r="847" spans="1:13" x14ac:dyDescent="0.25">
      <c r="A847" t="s">
        <v>373</v>
      </c>
      <c r="B847" t="s">
        <v>381</v>
      </c>
      <c r="C847" t="s">
        <v>349</v>
      </c>
      <c r="D847"/>
      <c r="E847"/>
      <c r="F847" t="s">
        <v>382</v>
      </c>
      <c r="G847">
        <v>1.1000000000000001</v>
      </c>
      <c r="H847" t="s">
        <v>356</v>
      </c>
      <c r="I847" t="s">
        <v>682</v>
      </c>
      <c r="J847">
        <v>420308</v>
      </c>
      <c r="K847" t="s">
        <v>736</v>
      </c>
      <c r="L847" t="s">
        <v>737</v>
      </c>
      <c r="M847" t="s">
        <v>351</v>
      </c>
    </row>
    <row r="848" spans="1:13" x14ac:dyDescent="0.25">
      <c r="A848" t="s">
        <v>371</v>
      </c>
      <c r="B848" t="s">
        <v>381</v>
      </c>
      <c r="C848" t="s">
        <v>349</v>
      </c>
      <c r="D848"/>
      <c r="E848"/>
      <c r="F848" t="s">
        <v>380</v>
      </c>
      <c r="G848">
        <v>1.1000000000000001</v>
      </c>
      <c r="H848" t="s">
        <v>356</v>
      </c>
      <c r="I848" t="s">
        <v>682</v>
      </c>
      <c r="J848">
        <v>420308</v>
      </c>
      <c r="K848" t="s">
        <v>736</v>
      </c>
      <c r="L848" t="s">
        <v>737</v>
      </c>
      <c r="M848" t="s">
        <v>351</v>
      </c>
    </row>
    <row r="849" spans="1:13" x14ac:dyDescent="0.25">
      <c r="A849" t="s">
        <v>483</v>
      </c>
      <c r="B849"/>
      <c r="C849" t="s">
        <v>349</v>
      </c>
      <c r="D849"/>
      <c r="E849"/>
      <c r="F849" t="s">
        <v>473</v>
      </c>
      <c r="G849">
        <v>1.2</v>
      </c>
      <c r="H849" t="s">
        <v>356</v>
      </c>
      <c r="I849" t="s">
        <v>682</v>
      </c>
      <c r="J849">
        <v>420308</v>
      </c>
      <c r="K849" t="s">
        <v>736</v>
      </c>
      <c r="L849" t="s">
        <v>737</v>
      </c>
      <c r="M849" t="s">
        <v>351</v>
      </c>
    </row>
    <row r="850" spans="1:13" x14ac:dyDescent="0.25">
      <c r="A850" t="s">
        <v>542</v>
      </c>
      <c r="B850"/>
      <c r="C850" t="s">
        <v>349</v>
      </c>
      <c r="D850"/>
      <c r="E850"/>
      <c r="F850" t="s">
        <v>545</v>
      </c>
      <c r="G850">
        <v>1.2</v>
      </c>
      <c r="H850" t="s">
        <v>356</v>
      </c>
      <c r="I850" t="s">
        <v>682</v>
      </c>
      <c r="J850">
        <v>420308</v>
      </c>
      <c r="K850" t="s">
        <v>736</v>
      </c>
      <c r="L850" t="s">
        <v>737</v>
      </c>
      <c r="M850" t="s">
        <v>351</v>
      </c>
    </row>
    <row r="851" spans="1:13" x14ac:dyDescent="0.25">
      <c r="A851" t="s">
        <v>453</v>
      </c>
      <c r="B851" t="s">
        <v>515</v>
      </c>
      <c r="C851" t="s">
        <v>349</v>
      </c>
      <c r="D851"/>
      <c r="E851"/>
      <c r="F851"/>
      <c r="G851">
        <v>1.4</v>
      </c>
      <c r="H851" t="s">
        <v>356</v>
      </c>
      <c r="I851" t="s">
        <v>682</v>
      </c>
      <c r="J851">
        <v>420308</v>
      </c>
      <c r="K851" t="s">
        <v>736</v>
      </c>
      <c r="L851" t="s">
        <v>737</v>
      </c>
      <c r="M851" t="s">
        <v>351</v>
      </c>
    </row>
    <row r="852" spans="1:13" x14ac:dyDescent="0.25">
      <c r="A852" t="s">
        <v>371</v>
      </c>
      <c r="B852" t="s">
        <v>430</v>
      </c>
      <c r="C852" t="s">
        <v>349</v>
      </c>
      <c r="D852"/>
      <c r="E852"/>
      <c r="F852" t="s">
        <v>377</v>
      </c>
      <c r="G852">
        <v>1.4</v>
      </c>
      <c r="H852" t="s">
        <v>356</v>
      </c>
      <c r="I852" t="s">
        <v>682</v>
      </c>
      <c r="J852">
        <v>420308</v>
      </c>
      <c r="K852" t="s">
        <v>736</v>
      </c>
      <c r="L852" t="s">
        <v>737</v>
      </c>
      <c r="M852" t="s">
        <v>351</v>
      </c>
    </row>
    <row r="853" spans="1:13" x14ac:dyDescent="0.25">
      <c r="A853" t="s">
        <v>420</v>
      </c>
      <c r="B853"/>
      <c r="C853" t="s">
        <v>349</v>
      </c>
      <c r="D853"/>
      <c r="E853"/>
      <c r="F853" t="s">
        <v>380</v>
      </c>
      <c r="G853">
        <v>7.5</v>
      </c>
      <c r="H853" t="s">
        <v>356</v>
      </c>
      <c r="I853" t="s">
        <v>682</v>
      </c>
      <c r="J853">
        <v>420308</v>
      </c>
      <c r="K853" t="s">
        <v>736</v>
      </c>
      <c r="L853" t="s">
        <v>737</v>
      </c>
      <c r="M853" t="s">
        <v>351</v>
      </c>
    </row>
    <row r="854" spans="1:13" x14ac:dyDescent="0.25">
      <c r="A854" t="s">
        <v>546</v>
      </c>
      <c r="B854"/>
      <c r="C854" t="s">
        <v>349</v>
      </c>
      <c r="D854"/>
      <c r="E854"/>
      <c r="F854"/>
      <c r="G854">
        <v>8.1999999999999993</v>
      </c>
      <c r="H854" t="s">
        <v>364</v>
      </c>
      <c r="I854" t="s">
        <v>682</v>
      </c>
      <c r="J854">
        <v>420308</v>
      </c>
      <c r="K854" t="s">
        <v>736</v>
      </c>
      <c r="L854" t="s">
        <v>737</v>
      </c>
      <c r="M854" t="s">
        <v>351</v>
      </c>
    </row>
    <row r="855" spans="1:13" x14ac:dyDescent="0.25">
      <c r="A855" t="s">
        <v>432</v>
      </c>
      <c r="B855"/>
      <c r="C855" t="s">
        <v>349</v>
      </c>
      <c r="D855"/>
      <c r="E855"/>
      <c r="F855"/>
      <c r="G855">
        <v>17.100000000000001</v>
      </c>
      <c r="H855" t="s">
        <v>364</v>
      </c>
      <c r="I855" t="s">
        <v>682</v>
      </c>
      <c r="J855">
        <v>420308</v>
      </c>
      <c r="K855" t="s">
        <v>736</v>
      </c>
      <c r="L855" t="s">
        <v>737</v>
      </c>
      <c r="M855" t="s">
        <v>351</v>
      </c>
    </row>
    <row r="856" spans="1:13" x14ac:dyDescent="0.25">
      <c r="A856" t="s">
        <v>484</v>
      </c>
      <c r="B856"/>
      <c r="C856" t="s">
        <v>349</v>
      </c>
      <c r="D856"/>
      <c r="E856"/>
      <c r="F856" t="s">
        <v>473</v>
      </c>
      <c r="G856">
        <v>24.7</v>
      </c>
      <c r="H856" t="s">
        <v>356</v>
      </c>
      <c r="I856" t="s">
        <v>682</v>
      </c>
      <c r="J856">
        <v>420308</v>
      </c>
      <c r="K856" t="s">
        <v>736</v>
      </c>
      <c r="L856" t="s">
        <v>737</v>
      </c>
      <c r="M856" t="s">
        <v>351</v>
      </c>
    </row>
    <row r="857" spans="1:13" x14ac:dyDescent="0.25">
      <c r="A857" t="s">
        <v>453</v>
      </c>
      <c r="B857" t="s">
        <v>590</v>
      </c>
      <c r="C857" t="s">
        <v>349</v>
      </c>
      <c r="D857"/>
      <c r="E857"/>
      <c r="F857"/>
      <c r="G857">
        <v>30.4</v>
      </c>
      <c r="H857" t="s">
        <v>364</v>
      </c>
      <c r="I857" t="s">
        <v>682</v>
      </c>
      <c r="J857">
        <v>420308</v>
      </c>
      <c r="K857" t="s">
        <v>736</v>
      </c>
      <c r="L857" t="s">
        <v>737</v>
      </c>
      <c r="M857" t="s">
        <v>351</v>
      </c>
    </row>
    <row r="858" spans="1:13" x14ac:dyDescent="0.25">
      <c r="A858" t="s">
        <v>432</v>
      </c>
      <c r="B858"/>
      <c r="C858" t="s">
        <v>349</v>
      </c>
      <c r="D858"/>
      <c r="E858"/>
      <c r="F858"/>
      <c r="G858">
        <v>32.9</v>
      </c>
      <c r="H858" t="s">
        <v>604</v>
      </c>
      <c r="I858" t="s">
        <v>682</v>
      </c>
      <c r="J858">
        <v>420308</v>
      </c>
      <c r="K858" t="s">
        <v>736</v>
      </c>
      <c r="L858" t="s">
        <v>737</v>
      </c>
      <c r="M858" t="s">
        <v>351</v>
      </c>
    </row>
    <row r="859" spans="1:13" x14ac:dyDescent="0.25">
      <c r="A859" t="s">
        <v>472</v>
      </c>
      <c r="B859"/>
      <c r="C859" t="s">
        <v>349</v>
      </c>
      <c r="D859"/>
      <c r="E859"/>
      <c r="F859" t="s">
        <v>972</v>
      </c>
      <c r="G859">
        <v>112.9</v>
      </c>
      <c r="H859" t="s">
        <v>391</v>
      </c>
      <c r="I859" t="s">
        <v>682</v>
      </c>
      <c r="J859">
        <v>420308</v>
      </c>
      <c r="K859" t="s">
        <v>736</v>
      </c>
      <c r="L859" t="s">
        <v>737</v>
      </c>
      <c r="M859" t="s">
        <v>351</v>
      </c>
    </row>
    <row r="860" spans="1:13" x14ac:dyDescent="0.25">
      <c r="A860" t="s">
        <v>568</v>
      </c>
      <c r="B860"/>
      <c r="C860" t="s">
        <v>349</v>
      </c>
      <c r="D860"/>
      <c r="E860"/>
      <c r="F860"/>
      <c r="G860">
        <v>644.29999999999995</v>
      </c>
      <c r="H860" t="s">
        <v>389</v>
      </c>
      <c r="I860" t="s">
        <v>682</v>
      </c>
      <c r="J860">
        <v>420308</v>
      </c>
      <c r="K860" t="s">
        <v>736</v>
      </c>
      <c r="L860" t="s">
        <v>737</v>
      </c>
      <c r="M860" t="s">
        <v>351</v>
      </c>
    </row>
    <row r="861" spans="1:13" x14ac:dyDescent="0.25">
      <c r="A861" t="s">
        <v>397</v>
      </c>
      <c r="B861"/>
      <c r="C861" t="s">
        <v>349</v>
      </c>
      <c r="D861"/>
      <c r="E861"/>
      <c r="F861" t="s">
        <v>475</v>
      </c>
      <c r="G861">
        <v>0.3</v>
      </c>
      <c r="H861" t="s">
        <v>356</v>
      </c>
      <c r="I861" t="s">
        <v>384</v>
      </c>
      <c r="J861">
        <v>420312</v>
      </c>
      <c r="K861" t="s">
        <v>713</v>
      </c>
      <c r="L861" t="s">
        <v>714</v>
      </c>
      <c r="M861" t="s">
        <v>351</v>
      </c>
    </row>
    <row r="862" spans="1:13" x14ac:dyDescent="0.25">
      <c r="A862" t="s">
        <v>371</v>
      </c>
      <c r="B862" t="s">
        <v>429</v>
      </c>
      <c r="C862" t="s">
        <v>349</v>
      </c>
      <c r="D862"/>
      <c r="E862"/>
      <c r="F862" t="s">
        <v>448</v>
      </c>
      <c r="G862">
        <v>0.9</v>
      </c>
      <c r="H862" t="s">
        <v>356</v>
      </c>
      <c r="I862" t="s">
        <v>384</v>
      </c>
      <c r="J862">
        <v>420312</v>
      </c>
      <c r="K862" t="s">
        <v>713</v>
      </c>
      <c r="L862" t="s">
        <v>714</v>
      </c>
      <c r="M862" t="s">
        <v>351</v>
      </c>
    </row>
    <row r="863" spans="1:13" x14ac:dyDescent="0.25">
      <c r="A863" t="s">
        <v>373</v>
      </c>
      <c r="B863" t="s">
        <v>501</v>
      </c>
      <c r="C863" t="s">
        <v>349</v>
      </c>
      <c r="D863"/>
      <c r="E863"/>
      <c r="F863" t="s">
        <v>473</v>
      </c>
      <c r="G863">
        <v>1</v>
      </c>
      <c r="H863" t="s">
        <v>356</v>
      </c>
      <c r="I863" t="s">
        <v>384</v>
      </c>
      <c r="J863">
        <v>420312</v>
      </c>
      <c r="K863" t="s">
        <v>713</v>
      </c>
      <c r="L863" t="s">
        <v>714</v>
      </c>
      <c r="M863" t="s">
        <v>351</v>
      </c>
    </row>
    <row r="864" spans="1:13" x14ac:dyDescent="0.25">
      <c r="A864" t="s">
        <v>542</v>
      </c>
      <c r="B864"/>
      <c r="C864" t="s">
        <v>349</v>
      </c>
      <c r="D864"/>
      <c r="E864"/>
      <c r="F864" t="s">
        <v>545</v>
      </c>
      <c r="G864">
        <v>1.2</v>
      </c>
      <c r="H864" t="s">
        <v>356</v>
      </c>
      <c r="I864" t="s">
        <v>384</v>
      </c>
      <c r="J864">
        <v>420312</v>
      </c>
      <c r="K864" t="s">
        <v>713</v>
      </c>
      <c r="L864" t="s">
        <v>714</v>
      </c>
      <c r="M864" t="s">
        <v>351</v>
      </c>
    </row>
    <row r="865" spans="1:13" x14ac:dyDescent="0.25">
      <c r="A865" t="s">
        <v>413</v>
      </c>
      <c r="B865"/>
      <c r="C865" t="s">
        <v>349</v>
      </c>
      <c r="D865"/>
      <c r="E865"/>
      <c r="F865" t="s">
        <v>418</v>
      </c>
      <c r="G865">
        <v>1.4</v>
      </c>
      <c r="H865" t="s">
        <v>361</v>
      </c>
      <c r="I865" t="s">
        <v>384</v>
      </c>
      <c r="J865">
        <v>420312</v>
      </c>
      <c r="K865" t="s">
        <v>713</v>
      </c>
      <c r="L865" t="s">
        <v>714</v>
      </c>
      <c r="M865" t="s">
        <v>351</v>
      </c>
    </row>
    <row r="866" spans="1:13" x14ac:dyDescent="0.25">
      <c r="A866" t="s">
        <v>447</v>
      </c>
      <c r="B866"/>
      <c r="C866" t="s">
        <v>349</v>
      </c>
      <c r="D866"/>
      <c r="E866"/>
      <c r="F866" t="s">
        <v>431</v>
      </c>
      <c r="G866">
        <v>1.5</v>
      </c>
      <c r="H866" t="s">
        <v>367</v>
      </c>
      <c r="I866" t="s">
        <v>384</v>
      </c>
      <c r="J866">
        <v>420312</v>
      </c>
      <c r="K866" t="s">
        <v>713</v>
      </c>
      <c r="L866" t="s">
        <v>714</v>
      </c>
      <c r="M866" t="s">
        <v>351</v>
      </c>
    </row>
    <row r="867" spans="1:13" x14ac:dyDescent="0.25">
      <c r="A867" t="s">
        <v>409</v>
      </c>
      <c r="B867"/>
      <c r="C867" t="s">
        <v>349</v>
      </c>
      <c r="D867"/>
      <c r="E867"/>
      <c r="F867" t="s">
        <v>504</v>
      </c>
      <c r="G867">
        <v>1.8</v>
      </c>
      <c r="H867" t="s">
        <v>356</v>
      </c>
      <c r="I867" t="s">
        <v>384</v>
      </c>
      <c r="J867">
        <v>420312</v>
      </c>
      <c r="K867" t="s">
        <v>713</v>
      </c>
      <c r="L867" t="s">
        <v>714</v>
      </c>
      <c r="M867" t="s">
        <v>351</v>
      </c>
    </row>
    <row r="868" spans="1:13" x14ac:dyDescent="0.25">
      <c r="A868" t="s">
        <v>376</v>
      </c>
      <c r="B868"/>
      <c r="C868" t="s">
        <v>349</v>
      </c>
      <c r="D868"/>
      <c r="E868"/>
      <c r="F868"/>
      <c r="G868">
        <v>2.4</v>
      </c>
      <c r="H868" t="s">
        <v>364</v>
      </c>
      <c r="I868" t="s">
        <v>384</v>
      </c>
      <c r="J868">
        <v>420312</v>
      </c>
      <c r="K868" t="s">
        <v>713</v>
      </c>
      <c r="L868" t="s">
        <v>714</v>
      </c>
      <c r="M868" t="s">
        <v>351</v>
      </c>
    </row>
    <row r="869" spans="1:13" x14ac:dyDescent="0.25">
      <c r="A869" t="s">
        <v>468</v>
      </c>
      <c r="B869"/>
      <c r="C869" t="s">
        <v>349</v>
      </c>
      <c r="D869"/>
      <c r="E869"/>
      <c r="F869" t="s">
        <v>428</v>
      </c>
      <c r="G869">
        <v>3.3</v>
      </c>
      <c r="H869" t="s">
        <v>364</v>
      </c>
      <c r="I869" t="s">
        <v>384</v>
      </c>
      <c r="J869">
        <v>420312</v>
      </c>
      <c r="K869" t="s">
        <v>713</v>
      </c>
      <c r="L869" t="s">
        <v>714</v>
      </c>
      <c r="M869" t="s">
        <v>351</v>
      </c>
    </row>
    <row r="870" spans="1:13" x14ac:dyDescent="0.25">
      <c r="A870" t="s">
        <v>483</v>
      </c>
      <c r="B870"/>
      <c r="C870" t="s">
        <v>349</v>
      </c>
      <c r="D870"/>
      <c r="E870"/>
      <c r="F870" t="s">
        <v>516</v>
      </c>
      <c r="G870">
        <v>4.4000000000000004</v>
      </c>
      <c r="H870" t="s">
        <v>364</v>
      </c>
      <c r="I870" t="s">
        <v>384</v>
      </c>
      <c r="J870">
        <v>420312</v>
      </c>
      <c r="K870" t="s">
        <v>713</v>
      </c>
      <c r="L870" t="s">
        <v>714</v>
      </c>
      <c r="M870" t="s">
        <v>351</v>
      </c>
    </row>
    <row r="871" spans="1:13" x14ac:dyDescent="0.25">
      <c r="A871" t="s">
        <v>560</v>
      </c>
      <c r="B871"/>
      <c r="C871" t="s">
        <v>349</v>
      </c>
      <c r="D871" t="s">
        <v>848</v>
      </c>
      <c r="E871"/>
      <c r="F871"/>
      <c r="G871">
        <v>6</v>
      </c>
      <c r="H871" t="s">
        <v>356</v>
      </c>
      <c r="I871" t="s">
        <v>384</v>
      </c>
      <c r="J871">
        <v>420312</v>
      </c>
      <c r="K871" t="s">
        <v>713</v>
      </c>
      <c r="L871" t="s">
        <v>714</v>
      </c>
      <c r="M871" t="s">
        <v>351</v>
      </c>
    </row>
    <row r="872" spans="1:13" x14ac:dyDescent="0.25">
      <c r="A872" t="s">
        <v>469</v>
      </c>
      <c r="B872" t="s">
        <v>852</v>
      </c>
      <c r="C872" t="s">
        <v>349</v>
      </c>
      <c r="D872"/>
      <c r="E872"/>
      <c r="F872"/>
      <c r="G872">
        <v>7.2</v>
      </c>
      <c r="H872" t="s">
        <v>364</v>
      </c>
      <c r="I872" t="s">
        <v>384</v>
      </c>
      <c r="J872">
        <v>420312</v>
      </c>
      <c r="K872" t="s">
        <v>713</v>
      </c>
      <c r="L872" t="s">
        <v>714</v>
      </c>
      <c r="M872" t="s">
        <v>351</v>
      </c>
    </row>
    <row r="873" spans="1:13" x14ac:dyDescent="0.25">
      <c r="A873" t="s">
        <v>540</v>
      </c>
      <c r="B873"/>
      <c r="C873" t="s">
        <v>349</v>
      </c>
      <c r="D873"/>
      <c r="E873"/>
      <c r="F873"/>
      <c r="G873">
        <v>10.8</v>
      </c>
      <c r="H873" t="s">
        <v>364</v>
      </c>
      <c r="I873" t="s">
        <v>384</v>
      </c>
      <c r="J873">
        <v>420312</v>
      </c>
      <c r="K873" t="s">
        <v>713</v>
      </c>
      <c r="L873" t="s">
        <v>714</v>
      </c>
      <c r="M873" t="s">
        <v>351</v>
      </c>
    </row>
    <row r="874" spans="1:13" x14ac:dyDescent="0.25">
      <c r="A874" t="s">
        <v>579</v>
      </c>
      <c r="B874" t="s">
        <v>580</v>
      </c>
      <c r="C874" t="s">
        <v>349</v>
      </c>
      <c r="D874"/>
      <c r="E874"/>
      <c r="F874"/>
      <c r="G874">
        <v>12.5</v>
      </c>
      <c r="H874" t="s">
        <v>356</v>
      </c>
      <c r="I874" t="s">
        <v>384</v>
      </c>
      <c r="J874">
        <v>420312</v>
      </c>
      <c r="K874" t="s">
        <v>713</v>
      </c>
      <c r="L874" t="s">
        <v>714</v>
      </c>
      <c r="M874" t="s">
        <v>351</v>
      </c>
    </row>
    <row r="875" spans="1:13" x14ac:dyDescent="0.25">
      <c r="A875" t="s">
        <v>423</v>
      </c>
      <c r="B875"/>
      <c r="C875" t="s">
        <v>349</v>
      </c>
      <c r="D875"/>
      <c r="E875"/>
      <c r="F875" t="s">
        <v>380</v>
      </c>
      <c r="G875">
        <v>13.2</v>
      </c>
      <c r="H875" t="s">
        <v>368</v>
      </c>
      <c r="I875" t="s">
        <v>384</v>
      </c>
      <c r="J875">
        <v>420312</v>
      </c>
      <c r="K875" t="s">
        <v>713</v>
      </c>
      <c r="L875" t="s">
        <v>714</v>
      </c>
      <c r="M875" t="s">
        <v>351</v>
      </c>
    </row>
    <row r="876" spans="1:13" x14ac:dyDescent="0.25">
      <c r="A876" t="s">
        <v>484</v>
      </c>
      <c r="B876"/>
      <c r="C876" t="s">
        <v>349</v>
      </c>
      <c r="D876"/>
      <c r="E876"/>
      <c r="F876" t="s">
        <v>473</v>
      </c>
      <c r="G876">
        <v>24.7</v>
      </c>
      <c r="H876" t="s">
        <v>356</v>
      </c>
      <c r="I876" t="s">
        <v>384</v>
      </c>
      <c r="J876">
        <v>420312</v>
      </c>
      <c r="K876" t="s">
        <v>713</v>
      </c>
      <c r="L876" t="s">
        <v>714</v>
      </c>
      <c r="M876" t="s">
        <v>351</v>
      </c>
    </row>
    <row r="877" spans="1:13" x14ac:dyDescent="0.25">
      <c r="A877" t="s">
        <v>472</v>
      </c>
      <c r="B877"/>
      <c r="C877" t="s">
        <v>349</v>
      </c>
      <c r="D877"/>
      <c r="E877"/>
      <c r="F877" t="s">
        <v>500</v>
      </c>
      <c r="G877">
        <v>47.6</v>
      </c>
      <c r="H877" t="s">
        <v>367</v>
      </c>
      <c r="I877" t="s">
        <v>384</v>
      </c>
      <c r="J877">
        <v>420312</v>
      </c>
      <c r="K877" t="s">
        <v>713</v>
      </c>
      <c r="L877" t="s">
        <v>714</v>
      </c>
      <c r="M877" t="s">
        <v>351</v>
      </c>
    </row>
    <row r="878" spans="1:13" x14ac:dyDescent="0.25">
      <c r="A878" t="s">
        <v>546</v>
      </c>
      <c r="B878"/>
      <c r="C878" t="s">
        <v>349</v>
      </c>
      <c r="D878"/>
      <c r="E878"/>
      <c r="F878"/>
      <c r="G878">
        <v>80.2</v>
      </c>
      <c r="H878" t="s">
        <v>400</v>
      </c>
      <c r="I878" t="s">
        <v>384</v>
      </c>
      <c r="J878">
        <v>420312</v>
      </c>
      <c r="K878" t="s">
        <v>713</v>
      </c>
      <c r="L878" t="s">
        <v>714</v>
      </c>
      <c r="M878" t="s">
        <v>351</v>
      </c>
    </row>
    <row r="879" spans="1:13" x14ac:dyDescent="0.25">
      <c r="A879" t="s">
        <v>462</v>
      </c>
      <c r="B879" t="s">
        <v>449</v>
      </c>
      <c r="C879" t="s">
        <v>349</v>
      </c>
      <c r="D879"/>
      <c r="E879"/>
      <c r="F879"/>
      <c r="G879">
        <v>101</v>
      </c>
      <c r="H879" t="s">
        <v>367</v>
      </c>
      <c r="I879" t="s">
        <v>384</v>
      </c>
      <c r="J879">
        <v>420312</v>
      </c>
      <c r="K879" t="s">
        <v>713</v>
      </c>
      <c r="L879" t="s">
        <v>714</v>
      </c>
      <c r="M879" t="s">
        <v>351</v>
      </c>
    </row>
    <row r="880" spans="1:13" x14ac:dyDescent="0.25">
      <c r="A880" t="s">
        <v>432</v>
      </c>
      <c r="B880"/>
      <c r="C880" t="s">
        <v>349</v>
      </c>
      <c r="D880"/>
      <c r="E880"/>
      <c r="F880"/>
      <c r="G880">
        <v>132.1</v>
      </c>
      <c r="H880" t="s">
        <v>405</v>
      </c>
      <c r="I880" t="s">
        <v>384</v>
      </c>
      <c r="J880">
        <v>420312</v>
      </c>
      <c r="K880" t="s">
        <v>713</v>
      </c>
      <c r="L880" t="s">
        <v>714</v>
      </c>
      <c r="M880" t="s">
        <v>351</v>
      </c>
    </row>
    <row r="881" spans="1:13" x14ac:dyDescent="0.25">
      <c r="A881" t="s">
        <v>568</v>
      </c>
      <c r="B881"/>
      <c r="C881" t="s">
        <v>349</v>
      </c>
      <c r="D881"/>
      <c r="E881"/>
      <c r="F881"/>
      <c r="G881">
        <v>422.8</v>
      </c>
      <c r="H881" t="s">
        <v>404</v>
      </c>
      <c r="I881" t="s">
        <v>384</v>
      </c>
      <c r="J881">
        <v>420312</v>
      </c>
      <c r="K881" t="s">
        <v>713</v>
      </c>
      <c r="L881" t="s">
        <v>714</v>
      </c>
      <c r="M881" t="s">
        <v>351</v>
      </c>
    </row>
    <row r="882" spans="1:13" x14ac:dyDescent="0.25">
      <c r="A882" t="s">
        <v>420</v>
      </c>
      <c r="B882"/>
      <c r="C882" t="s">
        <v>349</v>
      </c>
      <c r="D882"/>
      <c r="E882"/>
      <c r="F882" t="s">
        <v>545</v>
      </c>
      <c r="G882">
        <v>248</v>
      </c>
      <c r="H882" t="s">
        <v>988</v>
      </c>
      <c r="I882" t="s">
        <v>652</v>
      </c>
      <c r="J882">
        <v>420408</v>
      </c>
      <c r="K882" t="s">
        <v>991</v>
      </c>
      <c r="L882" t="s">
        <v>654</v>
      </c>
      <c r="M882" t="s">
        <v>351</v>
      </c>
    </row>
    <row r="883" spans="1:13" x14ac:dyDescent="0.25">
      <c r="A883" t="s">
        <v>686</v>
      </c>
      <c r="B883"/>
      <c r="C883" t="s">
        <v>349</v>
      </c>
      <c r="D883"/>
      <c r="E883"/>
      <c r="F883" t="s">
        <v>508</v>
      </c>
      <c r="G883">
        <v>0.1</v>
      </c>
      <c r="H883" t="s">
        <v>356</v>
      </c>
      <c r="I883" t="s">
        <v>384</v>
      </c>
      <c r="J883">
        <v>420412</v>
      </c>
      <c r="K883" t="s">
        <v>687</v>
      </c>
      <c r="L883" t="s">
        <v>688</v>
      </c>
      <c r="M883" t="s">
        <v>351</v>
      </c>
    </row>
    <row r="884" spans="1:13" x14ac:dyDescent="0.25">
      <c r="A884" t="s">
        <v>373</v>
      </c>
      <c r="B884" t="s">
        <v>381</v>
      </c>
      <c r="C884" t="s">
        <v>349</v>
      </c>
      <c r="D884"/>
      <c r="E884"/>
      <c r="F884" t="s">
        <v>460</v>
      </c>
      <c r="G884">
        <v>0.5</v>
      </c>
      <c r="H884" t="s">
        <v>356</v>
      </c>
      <c r="I884" t="s">
        <v>384</v>
      </c>
      <c r="J884">
        <v>420412</v>
      </c>
      <c r="K884" t="s">
        <v>687</v>
      </c>
      <c r="L884" t="s">
        <v>688</v>
      </c>
      <c r="M884" t="s">
        <v>351</v>
      </c>
    </row>
    <row r="885" spans="1:13" x14ac:dyDescent="0.25">
      <c r="A885" t="s">
        <v>444</v>
      </c>
      <c r="B885"/>
      <c r="C885" t="s">
        <v>349</v>
      </c>
      <c r="D885"/>
      <c r="E885"/>
      <c r="F885" t="s">
        <v>446</v>
      </c>
      <c r="G885">
        <v>1.9</v>
      </c>
      <c r="H885" t="s">
        <v>356</v>
      </c>
      <c r="I885" t="s">
        <v>384</v>
      </c>
      <c r="J885">
        <v>420412</v>
      </c>
      <c r="K885" t="s">
        <v>687</v>
      </c>
      <c r="L885" t="s">
        <v>688</v>
      </c>
      <c r="M885" t="s">
        <v>351</v>
      </c>
    </row>
    <row r="886" spans="1:13" x14ac:dyDescent="0.25">
      <c r="A886" t="s">
        <v>413</v>
      </c>
      <c r="B886"/>
      <c r="C886" t="s">
        <v>349</v>
      </c>
      <c r="D886"/>
      <c r="E886"/>
      <c r="F886" t="s">
        <v>418</v>
      </c>
      <c r="G886">
        <v>2.4</v>
      </c>
      <c r="H886" t="s">
        <v>509</v>
      </c>
      <c r="I886" t="s">
        <v>384</v>
      </c>
      <c r="J886">
        <v>420412</v>
      </c>
      <c r="K886" t="s">
        <v>687</v>
      </c>
      <c r="L886" t="s">
        <v>688</v>
      </c>
      <c r="M886" t="s">
        <v>351</v>
      </c>
    </row>
    <row r="887" spans="1:13" x14ac:dyDescent="0.25">
      <c r="A887" t="s">
        <v>469</v>
      </c>
      <c r="B887" t="s">
        <v>543</v>
      </c>
      <c r="C887" t="s">
        <v>349</v>
      </c>
      <c r="D887"/>
      <c r="E887"/>
      <c r="F887"/>
      <c r="G887">
        <v>6.8</v>
      </c>
      <c r="H887" t="s">
        <v>356</v>
      </c>
      <c r="I887" t="s">
        <v>384</v>
      </c>
      <c r="J887">
        <v>420412</v>
      </c>
      <c r="K887" t="s">
        <v>687</v>
      </c>
      <c r="L887" t="s">
        <v>688</v>
      </c>
      <c r="M887" t="s">
        <v>351</v>
      </c>
    </row>
    <row r="888" spans="1:13" x14ac:dyDescent="0.25">
      <c r="A888" t="s">
        <v>572</v>
      </c>
      <c r="B888" t="s">
        <v>578</v>
      </c>
      <c r="C888" t="s">
        <v>349</v>
      </c>
      <c r="D888"/>
      <c r="E888"/>
      <c r="F888"/>
      <c r="G888">
        <v>10.5</v>
      </c>
      <c r="H888" t="s">
        <v>356</v>
      </c>
      <c r="I888" t="s">
        <v>384</v>
      </c>
      <c r="J888">
        <v>420412</v>
      </c>
      <c r="K888" t="s">
        <v>687</v>
      </c>
      <c r="L888" t="s">
        <v>688</v>
      </c>
      <c r="M888" t="s">
        <v>351</v>
      </c>
    </row>
    <row r="889" spans="1:13" x14ac:dyDescent="0.25">
      <c r="A889" t="s">
        <v>510</v>
      </c>
      <c r="B889"/>
      <c r="C889" t="s">
        <v>349</v>
      </c>
      <c r="D889"/>
      <c r="E889"/>
      <c r="F889" t="s">
        <v>721</v>
      </c>
      <c r="G889">
        <v>12.5</v>
      </c>
      <c r="H889" t="s">
        <v>356</v>
      </c>
      <c r="I889" t="s">
        <v>384</v>
      </c>
      <c r="J889">
        <v>420412</v>
      </c>
      <c r="K889" t="s">
        <v>687</v>
      </c>
      <c r="L889" t="s">
        <v>688</v>
      </c>
      <c r="M889" t="s">
        <v>351</v>
      </c>
    </row>
    <row r="890" spans="1:13" x14ac:dyDescent="0.25">
      <c r="A890" t="s">
        <v>462</v>
      </c>
      <c r="B890" t="s">
        <v>449</v>
      </c>
      <c r="C890" t="s">
        <v>349</v>
      </c>
      <c r="D890"/>
      <c r="E890"/>
      <c r="F890"/>
      <c r="G890">
        <v>14.2</v>
      </c>
      <c r="H890" t="s">
        <v>356</v>
      </c>
      <c r="I890" t="s">
        <v>384</v>
      </c>
      <c r="J890">
        <v>420412</v>
      </c>
      <c r="K890" t="s">
        <v>687</v>
      </c>
      <c r="L890" t="s">
        <v>688</v>
      </c>
      <c r="M890" t="s">
        <v>351</v>
      </c>
    </row>
    <row r="891" spans="1:13" x14ac:dyDescent="0.25">
      <c r="A891" t="s">
        <v>484</v>
      </c>
      <c r="B891"/>
      <c r="C891" t="s">
        <v>349</v>
      </c>
      <c r="D891"/>
      <c r="E891"/>
      <c r="F891" t="s">
        <v>464</v>
      </c>
      <c r="G891">
        <v>16.3</v>
      </c>
      <c r="H891" t="s">
        <v>364</v>
      </c>
      <c r="I891" t="s">
        <v>384</v>
      </c>
      <c r="J891">
        <v>420412</v>
      </c>
      <c r="K891" t="s">
        <v>687</v>
      </c>
      <c r="L891" t="s">
        <v>688</v>
      </c>
      <c r="M891" t="s">
        <v>351</v>
      </c>
    </row>
    <row r="892" spans="1:13" x14ac:dyDescent="0.25">
      <c r="A892" t="s">
        <v>546</v>
      </c>
      <c r="B892"/>
      <c r="C892" t="s">
        <v>349</v>
      </c>
      <c r="D892"/>
      <c r="E892"/>
      <c r="F892"/>
      <c r="G892">
        <v>23.5</v>
      </c>
      <c r="H892" t="s">
        <v>391</v>
      </c>
      <c r="I892" t="s">
        <v>384</v>
      </c>
      <c r="J892">
        <v>420412</v>
      </c>
      <c r="K892" t="s">
        <v>687</v>
      </c>
      <c r="L892" t="s">
        <v>688</v>
      </c>
      <c r="M892" t="s">
        <v>351</v>
      </c>
    </row>
    <row r="893" spans="1:13" x14ac:dyDescent="0.25">
      <c r="A893" t="s">
        <v>453</v>
      </c>
      <c r="B893" t="s">
        <v>590</v>
      </c>
      <c r="C893" t="s">
        <v>349</v>
      </c>
      <c r="D893"/>
      <c r="E893"/>
      <c r="F893"/>
      <c r="G893">
        <v>30.4</v>
      </c>
      <c r="H893" t="s">
        <v>364</v>
      </c>
      <c r="I893" t="s">
        <v>384</v>
      </c>
      <c r="J893">
        <v>420412</v>
      </c>
      <c r="K893" t="s">
        <v>687</v>
      </c>
      <c r="L893" t="s">
        <v>688</v>
      </c>
      <c r="M893" t="s">
        <v>351</v>
      </c>
    </row>
    <row r="894" spans="1:13" x14ac:dyDescent="0.25">
      <c r="A894" t="s">
        <v>432</v>
      </c>
      <c r="B894"/>
      <c r="C894" t="s">
        <v>349</v>
      </c>
      <c r="D894"/>
      <c r="E894"/>
      <c r="F894"/>
      <c r="G894">
        <v>38</v>
      </c>
      <c r="H894" t="s">
        <v>361</v>
      </c>
      <c r="I894" t="s">
        <v>384</v>
      </c>
      <c r="J894">
        <v>420412</v>
      </c>
      <c r="K894" t="s">
        <v>687</v>
      </c>
      <c r="L894" t="s">
        <v>688</v>
      </c>
      <c r="M894" t="s">
        <v>351</v>
      </c>
    </row>
    <row r="895" spans="1:13" x14ac:dyDescent="0.25">
      <c r="A895" t="s">
        <v>462</v>
      </c>
      <c r="B895" t="s">
        <v>449</v>
      </c>
      <c r="C895" t="s">
        <v>349</v>
      </c>
      <c r="D895"/>
      <c r="E895"/>
      <c r="F895"/>
      <c r="G895">
        <v>41.4</v>
      </c>
      <c r="H895" t="s">
        <v>356</v>
      </c>
      <c r="I895" t="s">
        <v>384</v>
      </c>
      <c r="J895">
        <v>420412</v>
      </c>
      <c r="K895" t="s">
        <v>687</v>
      </c>
      <c r="L895" t="s">
        <v>688</v>
      </c>
      <c r="M895" t="s">
        <v>351</v>
      </c>
    </row>
    <row r="896" spans="1:13" x14ac:dyDescent="0.25">
      <c r="A896" t="s">
        <v>472</v>
      </c>
      <c r="B896"/>
      <c r="C896" t="s">
        <v>349</v>
      </c>
      <c r="D896"/>
      <c r="E896"/>
      <c r="F896" t="s">
        <v>555</v>
      </c>
      <c r="G896">
        <v>59.4</v>
      </c>
      <c r="H896" t="s">
        <v>367</v>
      </c>
      <c r="I896" t="s">
        <v>384</v>
      </c>
      <c r="J896">
        <v>420412</v>
      </c>
      <c r="K896" t="s">
        <v>687</v>
      </c>
      <c r="L896" t="s">
        <v>688</v>
      </c>
      <c r="M896" t="s">
        <v>351</v>
      </c>
    </row>
    <row r="897" spans="1:13" x14ac:dyDescent="0.25">
      <c r="A897" t="s">
        <v>484</v>
      </c>
      <c r="B897"/>
      <c r="C897" t="s">
        <v>349</v>
      </c>
      <c r="D897"/>
      <c r="E897"/>
      <c r="F897" t="s">
        <v>473</v>
      </c>
      <c r="G897">
        <v>74.099999999999994</v>
      </c>
      <c r="H897" t="s">
        <v>367</v>
      </c>
      <c r="I897" t="s">
        <v>384</v>
      </c>
      <c r="J897">
        <v>420412</v>
      </c>
      <c r="K897" t="s">
        <v>687</v>
      </c>
      <c r="L897" t="s">
        <v>688</v>
      </c>
      <c r="M897" t="s">
        <v>351</v>
      </c>
    </row>
    <row r="898" spans="1:13" x14ac:dyDescent="0.25">
      <c r="A898" t="s">
        <v>432</v>
      </c>
      <c r="B898"/>
      <c r="C898" t="s">
        <v>349</v>
      </c>
      <c r="D898"/>
      <c r="E898"/>
      <c r="F898"/>
      <c r="G898">
        <v>119.4</v>
      </c>
      <c r="H898" t="s">
        <v>400</v>
      </c>
      <c r="I898" t="s">
        <v>384</v>
      </c>
      <c r="J898">
        <v>420412</v>
      </c>
      <c r="K898" t="s">
        <v>687</v>
      </c>
      <c r="L898" t="s">
        <v>688</v>
      </c>
      <c r="M898" t="s">
        <v>351</v>
      </c>
    </row>
    <row r="899" spans="1:13" x14ac:dyDescent="0.25">
      <c r="A899" t="s">
        <v>568</v>
      </c>
      <c r="B899"/>
      <c r="C899" t="s">
        <v>349</v>
      </c>
      <c r="D899"/>
      <c r="E899"/>
      <c r="F899"/>
      <c r="G899">
        <v>247.5</v>
      </c>
      <c r="H899" t="s">
        <v>393</v>
      </c>
      <c r="I899" t="s">
        <v>384</v>
      </c>
      <c r="J899">
        <v>420412</v>
      </c>
      <c r="K899" t="s">
        <v>687</v>
      </c>
      <c r="L899" t="s">
        <v>688</v>
      </c>
      <c r="M899" t="s">
        <v>351</v>
      </c>
    </row>
    <row r="900" spans="1:13" x14ac:dyDescent="0.25">
      <c r="A900" t="s">
        <v>420</v>
      </c>
      <c r="B900"/>
      <c r="C900" t="s">
        <v>349</v>
      </c>
      <c r="D900"/>
      <c r="E900"/>
      <c r="F900" t="s">
        <v>545</v>
      </c>
      <c r="G900">
        <v>248</v>
      </c>
      <c r="H900" t="s">
        <v>988</v>
      </c>
      <c r="I900" t="s">
        <v>652</v>
      </c>
      <c r="J900">
        <v>420508</v>
      </c>
      <c r="K900" t="s">
        <v>989</v>
      </c>
      <c r="L900" t="s">
        <v>678</v>
      </c>
      <c r="M900" t="s">
        <v>351</v>
      </c>
    </row>
    <row r="901" spans="1:13" x14ac:dyDescent="0.25">
      <c r="A901" t="s">
        <v>397</v>
      </c>
      <c r="B901"/>
      <c r="C901" t="s">
        <v>349</v>
      </c>
      <c r="D901"/>
      <c r="E901"/>
      <c r="F901" t="s">
        <v>521</v>
      </c>
      <c r="G901">
        <v>0.2</v>
      </c>
      <c r="H901" t="s">
        <v>356</v>
      </c>
      <c r="I901" t="s">
        <v>682</v>
      </c>
      <c r="J901">
        <v>420510</v>
      </c>
      <c r="K901" t="s">
        <v>702</v>
      </c>
      <c r="L901" t="s">
        <v>703</v>
      </c>
      <c r="M901" t="s">
        <v>351</v>
      </c>
    </row>
    <row r="902" spans="1:13" x14ac:dyDescent="0.25">
      <c r="A902" t="s">
        <v>373</v>
      </c>
      <c r="B902" t="s">
        <v>471</v>
      </c>
      <c r="C902" t="s">
        <v>349</v>
      </c>
      <c r="D902"/>
      <c r="E902"/>
      <c r="F902" t="s">
        <v>415</v>
      </c>
      <c r="G902">
        <v>0.6</v>
      </c>
      <c r="H902" t="s">
        <v>356</v>
      </c>
      <c r="I902" t="s">
        <v>682</v>
      </c>
      <c r="J902">
        <v>420510</v>
      </c>
      <c r="K902" t="s">
        <v>702</v>
      </c>
      <c r="L902" t="s">
        <v>703</v>
      </c>
      <c r="M902" t="s">
        <v>351</v>
      </c>
    </row>
    <row r="903" spans="1:13" x14ac:dyDescent="0.25">
      <c r="A903" t="s">
        <v>481</v>
      </c>
      <c r="B903"/>
      <c r="C903" t="s">
        <v>349</v>
      </c>
      <c r="D903"/>
      <c r="E903"/>
      <c r="F903" t="s">
        <v>482</v>
      </c>
      <c r="G903">
        <v>0.9</v>
      </c>
      <c r="H903" t="s">
        <v>356</v>
      </c>
      <c r="I903" t="s">
        <v>682</v>
      </c>
      <c r="J903">
        <v>420510</v>
      </c>
      <c r="K903" t="s">
        <v>702</v>
      </c>
      <c r="L903" t="s">
        <v>703</v>
      </c>
      <c r="M903" t="s">
        <v>351</v>
      </c>
    </row>
    <row r="904" spans="1:13" x14ac:dyDescent="0.25">
      <c r="A904" t="s">
        <v>483</v>
      </c>
      <c r="B904"/>
      <c r="C904" t="s">
        <v>349</v>
      </c>
      <c r="D904"/>
      <c r="E904"/>
      <c r="F904" t="s">
        <v>473</v>
      </c>
      <c r="G904">
        <v>0.9</v>
      </c>
      <c r="H904" t="s">
        <v>356</v>
      </c>
      <c r="I904" t="s">
        <v>682</v>
      </c>
      <c r="J904">
        <v>420510</v>
      </c>
      <c r="K904" t="s">
        <v>702</v>
      </c>
      <c r="L904" t="s">
        <v>703</v>
      </c>
      <c r="M904" t="s">
        <v>351</v>
      </c>
    </row>
    <row r="905" spans="1:13" x14ac:dyDescent="0.25">
      <c r="A905" t="s">
        <v>373</v>
      </c>
      <c r="B905" t="s">
        <v>507</v>
      </c>
      <c r="C905" t="s">
        <v>349</v>
      </c>
      <c r="D905"/>
      <c r="E905"/>
      <c r="F905" t="s">
        <v>428</v>
      </c>
      <c r="G905">
        <v>1.1000000000000001</v>
      </c>
      <c r="H905" t="s">
        <v>356</v>
      </c>
      <c r="I905" t="s">
        <v>682</v>
      </c>
      <c r="J905">
        <v>420510</v>
      </c>
      <c r="K905" t="s">
        <v>702</v>
      </c>
      <c r="L905" t="s">
        <v>703</v>
      </c>
      <c r="M905" t="s">
        <v>351</v>
      </c>
    </row>
    <row r="906" spans="1:13" x14ac:dyDescent="0.25">
      <c r="A906" t="s">
        <v>420</v>
      </c>
      <c r="B906"/>
      <c r="C906" t="s">
        <v>349</v>
      </c>
      <c r="D906"/>
      <c r="E906"/>
      <c r="F906" t="s">
        <v>784</v>
      </c>
      <c r="G906">
        <v>1.2</v>
      </c>
      <c r="H906" t="s">
        <v>356</v>
      </c>
      <c r="I906" t="s">
        <v>682</v>
      </c>
      <c r="J906">
        <v>420510</v>
      </c>
      <c r="K906" t="s">
        <v>702</v>
      </c>
      <c r="L906" t="s">
        <v>703</v>
      </c>
      <c r="M906" t="s">
        <v>351</v>
      </c>
    </row>
    <row r="907" spans="1:13" x14ac:dyDescent="0.25">
      <c r="A907" t="s">
        <v>483</v>
      </c>
      <c r="B907"/>
      <c r="C907" t="s">
        <v>349</v>
      </c>
      <c r="D907"/>
      <c r="E907"/>
      <c r="F907" t="s">
        <v>785</v>
      </c>
      <c r="G907">
        <v>1.3</v>
      </c>
      <c r="H907" t="s">
        <v>356</v>
      </c>
      <c r="I907" t="s">
        <v>682</v>
      </c>
      <c r="J907">
        <v>420510</v>
      </c>
      <c r="K907" t="s">
        <v>702</v>
      </c>
      <c r="L907" t="s">
        <v>703</v>
      </c>
      <c r="M907" t="s">
        <v>351</v>
      </c>
    </row>
    <row r="908" spans="1:13" x14ac:dyDescent="0.25">
      <c r="A908" t="s">
        <v>413</v>
      </c>
      <c r="B908"/>
      <c r="C908" t="s">
        <v>349</v>
      </c>
      <c r="D908"/>
      <c r="E908"/>
      <c r="F908" t="s">
        <v>418</v>
      </c>
      <c r="G908">
        <v>1.3</v>
      </c>
      <c r="H908" t="s">
        <v>361</v>
      </c>
      <c r="I908" t="s">
        <v>682</v>
      </c>
      <c r="J908">
        <v>420510</v>
      </c>
      <c r="K908" t="s">
        <v>702</v>
      </c>
      <c r="L908" t="s">
        <v>703</v>
      </c>
      <c r="M908" t="s">
        <v>351</v>
      </c>
    </row>
    <row r="909" spans="1:13" x14ac:dyDescent="0.25">
      <c r="A909" t="s">
        <v>444</v>
      </c>
      <c r="B909"/>
      <c r="C909" t="s">
        <v>349</v>
      </c>
      <c r="D909"/>
      <c r="E909"/>
      <c r="F909" t="s">
        <v>446</v>
      </c>
      <c r="G909">
        <v>1.9</v>
      </c>
      <c r="H909" t="s">
        <v>356</v>
      </c>
      <c r="I909" t="s">
        <v>682</v>
      </c>
      <c r="J909">
        <v>420510</v>
      </c>
      <c r="K909" t="s">
        <v>702</v>
      </c>
      <c r="L909" t="s">
        <v>703</v>
      </c>
      <c r="M909" t="s">
        <v>351</v>
      </c>
    </row>
    <row r="910" spans="1:13" x14ac:dyDescent="0.25">
      <c r="A910" t="s">
        <v>355</v>
      </c>
      <c r="B910"/>
      <c r="C910" t="s">
        <v>349</v>
      </c>
      <c r="D910"/>
      <c r="E910"/>
      <c r="F910"/>
      <c r="G910">
        <v>3.5</v>
      </c>
      <c r="H910" t="s">
        <v>364</v>
      </c>
      <c r="I910" t="s">
        <v>682</v>
      </c>
      <c r="J910">
        <v>420510</v>
      </c>
      <c r="K910" t="s">
        <v>702</v>
      </c>
      <c r="L910" t="s">
        <v>703</v>
      </c>
      <c r="M910" t="s">
        <v>351</v>
      </c>
    </row>
    <row r="911" spans="1:13" x14ac:dyDescent="0.25">
      <c r="A911" t="s">
        <v>483</v>
      </c>
      <c r="B911"/>
      <c r="C911" t="s">
        <v>349</v>
      </c>
      <c r="D911"/>
      <c r="E911"/>
      <c r="F911" t="s">
        <v>516</v>
      </c>
      <c r="G911">
        <v>3.6</v>
      </c>
      <c r="H911" t="s">
        <v>356</v>
      </c>
      <c r="I911" t="s">
        <v>682</v>
      </c>
      <c r="J911">
        <v>420510</v>
      </c>
      <c r="K911" t="s">
        <v>702</v>
      </c>
      <c r="L911" t="s">
        <v>703</v>
      </c>
      <c r="M911" t="s">
        <v>351</v>
      </c>
    </row>
    <row r="912" spans="1:13" x14ac:dyDescent="0.25">
      <c r="A912" t="s">
        <v>575</v>
      </c>
      <c r="B912"/>
      <c r="C912" t="s">
        <v>349</v>
      </c>
      <c r="D912"/>
      <c r="E912"/>
      <c r="F912"/>
      <c r="G912">
        <v>7.1</v>
      </c>
      <c r="H912" t="s">
        <v>356</v>
      </c>
      <c r="I912" t="s">
        <v>682</v>
      </c>
      <c r="J912">
        <v>420510</v>
      </c>
      <c r="K912" t="s">
        <v>702</v>
      </c>
      <c r="L912" t="s">
        <v>703</v>
      </c>
      <c r="M912" t="s">
        <v>351</v>
      </c>
    </row>
    <row r="913" spans="1:13" x14ac:dyDescent="0.25">
      <c r="A913" t="s">
        <v>432</v>
      </c>
      <c r="B913"/>
      <c r="C913" t="s">
        <v>349</v>
      </c>
      <c r="D913"/>
      <c r="E913"/>
      <c r="F913"/>
      <c r="G913">
        <v>7.3</v>
      </c>
      <c r="H913" t="s">
        <v>356</v>
      </c>
      <c r="I913" t="s">
        <v>682</v>
      </c>
      <c r="J913">
        <v>420510</v>
      </c>
      <c r="K913" t="s">
        <v>702</v>
      </c>
      <c r="L913" t="s">
        <v>703</v>
      </c>
      <c r="M913" t="s">
        <v>351</v>
      </c>
    </row>
    <row r="914" spans="1:13" x14ac:dyDescent="0.25">
      <c r="A914" t="s">
        <v>432</v>
      </c>
      <c r="B914"/>
      <c r="C914" t="s">
        <v>349</v>
      </c>
      <c r="D914"/>
      <c r="E914"/>
      <c r="F914"/>
      <c r="G914">
        <v>17</v>
      </c>
      <c r="H914" t="s">
        <v>364</v>
      </c>
      <c r="I914" t="s">
        <v>682</v>
      </c>
      <c r="J914">
        <v>420510</v>
      </c>
      <c r="K914" t="s">
        <v>702</v>
      </c>
      <c r="L914" t="s">
        <v>703</v>
      </c>
      <c r="M914" t="s">
        <v>351</v>
      </c>
    </row>
    <row r="915" spans="1:13" x14ac:dyDescent="0.25">
      <c r="A915" t="s">
        <v>546</v>
      </c>
      <c r="B915"/>
      <c r="C915" t="s">
        <v>349</v>
      </c>
      <c r="D915"/>
      <c r="E915"/>
      <c r="F915"/>
      <c r="G915">
        <v>17.8</v>
      </c>
      <c r="H915" t="s">
        <v>368</v>
      </c>
      <c r="I915" t="s">
        <v>682</v>
      </c>
      <c r="J915">
        <v>420510</v>
      </c>
      <c r="K915" t="s">
        <v>702</v>
      </c>
      <c r="L915" t="s">
        <v>703</v>
      </c>
      <c r="M915" t="s">
        <v>351</v>
      </c>
    </row>
    <row r="916" spans="1:13" x14ac:dyDescent="0.25">
      <c r="A916" t="s">
        <v>472</v>
      </c>
      <c r="B916"/>
      <c r="C916" t="s">
        <v>349</v>
      </c>
      <c r="D916"/>
      <c r="E916"/>
      <c r="F916" t="s">
        <v>555</v>
      </c>
      <c r="G916">
        <v>19.8</v>
      </c>
      <c r="H916" t="s">
        <v>356</v>
      </c>
      <c r="I916" t="s">
        <v>682</v>
      </c>
      <c r="J916">
        <v>420510</v>
      </c>
      <c r="K916" t="s">
        <v>702</v>
      </c>
      <c r="L916" t="s">
        <v>703</v>
      </c>
      <c r="M916" t="s">
        <v>351</v>
      </c>
    </row>
    <row r="917" spans="1:13" x14ac:dyDescent="0.25">
      <c r="A917" t="s">
        <v>484</v>
      </c>
      <c r="B917"/>
      <c r="C917" t="s">
        <v>349</v>
      </c>
      <c r="D917"/>
      <c r="E917"/>
      <c r="F917" t="s">
        <v>473</v>
      </c>
      <c r="G917">
        <v>24.7</v>
      </c>
      <c r="H917" t="s">
        <v>356</v>
      </c>
      <c r="I917" t="s">
        <v>682</v>
      </c>
      <c r="J917">
        <v>420510</v>
      </c>
      <c r="K917" t="s">
        <v>702</v>
      </c>
      <c r="L917" t="s">
        <v>703</v>
      </c>
      <c r="M917" t="s">
        <v>351</v>
      </c>
    </row>
    <row r="918" spans="1:13" x14ac:dyDescent="0.25">
      <c r="A918" t="s">
        <v>432</v>
      </c>
      <c r="B918"/>
      <c r="C918" t="s">
        <v>349</v>
      </c>
      <c r="D918"/>
      <c r="E918"/>
      <c r="F918"/>
      <c r="G918">
        <v>62.6</v>
      </c>
      <c r="H918" t="s">
        <v>604</v>
      </c>
      <c r="I918" t="s">
        <v>682</v>
      </c>
      <c r="J918">
        <v>420510</v>
      </c>
      <c r="K918" t="s">
        <v>702</v>
      </c>
      <c r="L918" t="s">
        <v>703</v>
      </c>
      <c r="M918" t="s">
        <v>351</v>
      </c>
    </row>
    <row r="919" spans="1:13" x14ac:dyDescent="0.25">
      <c r="A919" t="s">
        <v>568</v>
      </c>
      <c r="B919"/>
      <c r="C919" t="s">
        <v>349</v>
      </c>
      <c r="D919"/>
      <c r="E919"/>
      <c r="F919"/>
      <c r="G919">
        <v>263.2</v>
      </c>
      <c r="H919" t="s">
        <v>393</v>
      </c>
      <c r="I919" t="s">
        <v>682</v>
      </c>
      <c r="J919">
        <v>420510</v>
      </c>
      <c r="K919" t="s">
        <v>702</v>
      </c>
      <c r="L919" t="s">
        <v>703</v>
      </c>
      <c r="M919" t="s">
        <v>351</v>
      </c>
    </row>
    <row r="920" spans="1:13" x14ac:dyDescent="0.25">
      <c r="A920" t="s">
        <v>453</v>
      </c>
      <c r="B920" t="s">
        <v>1027</v>
      </c>
      <c r="C920" t="s">
        <v>349</v>
      </c>
      <c r="D920"/>
      <c r="E920"/>
      <c r="F920" t="s">
        <v>545</v>
      </c>
      <c r="G920">
        <v>2570</v>
      </c>
      <c r="H920" t="s">
        <v>1028</v>
      </c>
      <c r="I920" t="s">
        <v>652</v>
      </c>
      <c r="J920">
        <v>420512</v>
      </c>
      <c r="K920" t="s">
        <v>1029</v>
      </c>
      <c r="L920" t="s">
        <v>654</v>
      </c>
      <c r="M920" t="s">
        <v>351</v>
      </c>
    </row>
    <row r="921" spans="1:13" x14ac:dyDescent="0.25">
      <c r="A921" t="s">
        <v>371</v>
      </c>
      <c r="B921" t="s">
        <v>381</v>
      </c>
      <c r="C921" t="s">
        <v>349</v>
      </c>
      <c r="D921"/>
      <c r="E921"/>
      <c r="F921" t="s">
        <v>380</v>
      </c>
      <c r="G921">
        <v>1.1000000000000001</v>
      </c>
      <c r="H921" t="s">
        <v>356</v>
      </c>
      <c r="I921" t="s">
        <v>384</v>
      </c>
      <c r="J921">
        <v>420608</v>
      </c>
      <c r="K921" t="s">
        <v>780</v>
      </c>
      <c r="L921" t="s">
        <v>781</v>
      </c>
      <c r="M921" t="s">
        <v>351</v>
      </c>
    </row>
    <row r="922" spans="1:13" x14ac:dyDescent="0.25">
      <c r="A922" t="s">
        <v>371</v>
      </c>
      <c r="B922" t="s">
        <v>528</v>
      </c>
      <c r="C922" t="s">
        <v>349</v>
      </c>
      <c r="D922"/>
      <c r="E922"/>
      <c r="F922" t="s">
        <v>377</v>
      </c>
      <c r="G922">
        <v>1.7</v>
      </c>
      <c r="H922" t="s">
        <v>356</v>
      </c>
      <c r="I922" t="s">
        <v>384</v>
      </c>
      <c r="J922">
        <v>420608</v>
      </c>
      <c r="K922" t="s">
        <v>780</v>
      </c>
      <c r="L922" t="s">
        <v>781</v>
      </c>
      <c r="M922" t="s">
        <v>351</v>
      </c>
    </row>
    <row r="923" spans="1:13" x14ac:dyDescent="0.25">
      <c r="A923" t="s">
        <v>397</v>
      </c>
      <c r="B923"/>
      <c r="C923" t="s">
        <v>349</v>
      </c>
      <c r="D923"/>
      <c r="E923"/>
      <c r="F923" t="s">
        <v>721</v>
      </c>
      <c r="G923">
        <v>2</v>
      </c>
      <c r="H923" t="s">
        <v>356</v>
      </c>
      <c r="I923" t="s">
        <v>384</v>
      </c>
      <c r="J923">
        <v>420608</v>
      </c>
      <c r="K923" t="s">
        <v>780</v>
      </c>
      <c r="L923" t="s">
        <v>781</v>
      </c>
      <c r="M923" t="s">
        <v>351</v>
      </c>
    </row>
    <row r="924" spans="1:13" x14ac:dyDescent="0.25">
      <c r="A924" t="s">
        <v>371</v>
      </c>
      <c r="B924" t="s">
        <v>429</v>
      </c>
      <c r="C924" t="s">
        <v>349</v>
      </c>
      <c r="D924"/>
      <c r="E924"/>
      <c r="F924" t="s">
        <v>448</v>
      </c>
      <c r="G924">
        <v>2.2000000000000002</v>
      </c>
      <c r="H924" t="s">
        <v>367</v>
      </c>
      <c r="I924" t="s">
        <v>384</v>
      </c>
      <c r="J924">
        <v>420608</v>
      </c>
      <c r="K924" t="s">
        <v>780</v>
      </c>
      <c r="L924" t="s">
        <v>781</v>
      </c>
      <c r="M924" t="s">
        <v>351</v>
      </c>
    </row>
    <row r="925" spans="1:13" x14ac:dyDescent="0.25">
      <c r="A925" t="s">
        <v>413</v>
      </c>
      <c r="B925"/>
      <c r="C925" t="s">
        <v>349</v>
      </c>
      <c r="D925"/>
      <c r="E925"/>
      <c r="F925" t="s">
        <v>418</v>
      </c>
      <c r="G925">
        <v>2.4</v>
      </c>
      <c r="H925" t="s">
        <v>509</v>
      </c>
      <c r="I925" t="s">
        <v>384</v>
      </c>
      <c r="J925">
        <v>420608</v>
      </c>
      <c r="K925" t="s">
        <v>780</v>
      </c>
      <c r="L925" t="s">
        <v>781</v>
      </c>
      <c r="M925" t="s">
        <v>351</v>
      </c>
    </row>
    <row r="926" spans="1:13" x14ac:dyDescent="0.25">
      <c r="A926" t="s">
        <v>468</v>
      </c>
      <c r="B926"/>
      <c r="C926" t="s">
        <v>349</v>
      </c>
      <c r="D926"/>
      <c r="E926"/>
      <c r="F926" t="s">
        <v>428</v>
      </c>
      <c r="G926">
        <v>2.7</v>
      </c>
      <c r="H926" t="s">
        <v>367</v>
      </c>
      <c r="I926" t="s">
        <v>384</v>
      </c>
      <c r="J926">
        <v>420608</v>
      </c>
      <c r="K926" t="s">
        <v>780</v>
      </c>
      <c r="L926" t="s">
        <v>781</v>
      </c>
      <c r="M926" t="s">
        <v>351</v>
      </c>
    </row>
    <row r="927" spans="1:13" x14ac:dyDescent="0.25">
      <c r="A927" t="s">
        <v>518</v>
      </c>
      <c r="B927"/>
      <c r="C927" t="s">
        <v>349</v>
      </c>
      <c r="D927"/>
      <c r="E927"/>
      <c r="F927" t="s">
        <v>519</v>
      </c>
      <c r="G927">
        <v>2.8</v>
      </c>
      <c r="H927" t="s">
        <v>364</v>
      </c>
      <c r="I927" t="s">
        <v>384</v>
      </c>
      <c r="J927">
        <v>420608</v>
      </c>
      <c r="K927" t="s">
        <v>780</v>
      </c>
      <c r="L927" t="s">
        <v>781</v>
      </c>
      <c r="M927" t="s">
        <v>351</v>
      </c>
    </row>
    <row r="928" spans="1:13" x14ac:dyDescent="0.25">
      <c r="A928" t="s">
        <v>462</v>
      </c>
      <c r="B928" t="s">
        <v>822</v>
      </c>
      <c r="C928" t="s">
        <v>349</v>
      </c>
      <c r="D928"/>
      <c r="E928"/>
      <c r="F928"/>
      <c r="G928">
        <v>3.4</v>
      </c>
      <c r="H928" t="s">
        <v>356</v>
      </c>
      <c r="I928" t="s">
        <v>384</v>
      </c>
      <c r="J928">
        <v>420608</v>
      </c>
      <c r="K928" t="s">
        <v>780</v>
      </c>
      <c r="L928" t="s">
        <v>781</v>
      </c>
      <c r="M928" t="s">
        <v>351</v>
      </c>
    </row>
    <row r="929" spans="1:13" x14ac:dyDescent="0.25">
      <c r="A929" t="s">
        <v>469</v>
      </c>
      <c r="B929" t="s">
        <v>543</v>
      </c>
      <c r="C929" t="s">
        <v>349</v>
      </c>
      <c r="D929"/>
      <c r="E929"/>
      <c r="F929"/>
      <c r="G929">
        <v>3.5</v>
      </c>
      <c r="H929" t="s">
        <v>356</v>
      </c>
      <c r="I929" t="s">
        <v>384</v>
      </c>
      <c r="J929">
        <v>420608</v>
      </c>
      <c r="K929" t="s">
        <v>780</v>
      </c>
      <c r="L929" t="s">
        <v>781</v>
      </c>
      <c r="M929" t="s">
        <v>351</v>
      </c>
    </row>
    <row r="930" spans="1:13" x14ac:dyDescent="0.25">
      <c r="A930" t="s">
        <v>444</v>
      </c>
      <c r="B930"/>
      <c r="C930" t="s">
        <v>349</v>
      </c>
      <c r="D930"/>
      <c r="E930"/>
      <c r="F930" t="s">
        <v>473</v>
      </c>
      <c r="G930">
        <v>6.5</v>
      </c>
      <c r="H930" t="s">
        <v>356</v>
      </c>
      <c r="I930" t="s">
        <v>384</v>
      </c>
      <c r="J930">
        <v>420608</v>
      </c>
      <c r="K930" t="s">
        <v>780</v>
      </c>
      <c r="L930" t="s">
        <v>781</v>
      </c>
      <c r="M930" t="s">
        <v>351</v>
      </c>
    </row>
    <row r="931" spans="1:13" x14ac:dyDescent="0.25">
      <c r="A931" t="s">
        <v>550</v>
      </c>
      <c r="B931"/>
      <c r="C931" t="s">
        <v>349</v>
      </c>
      <c r="D931"/>
      <c r="E931"/>
      <c r="F931"/>
      <c r="G931">
        <v>7.3</v>
      </c>
      <c r="H931" t="s">
        <v>356</v>
      </c>
      <c r="I931" t="s">
        <v>384</v>
      </c>
      <c r="J931">
        <v>420608</v>
      </c>
      <c r="K931" t="s">
        <v>780</v>
      </c>
      <c r="L931" t="s">
        <v>781</v>
      </c>
      <c r="M931" t="s">
        <v>351</v>
      </c>
    </row>
    <row r="932" spans="1:13" x14ac:dyDescent="0.25">
      <c r="A932" t="s">
        <v>462</v>
      </c>
      <c r="B932" t="s">
        <v>585</v>
      </c>
      <c r="C932" t="s">
        <v>349</v>
      </c>
      <c r="D932"/>
      <c r="E932"/>
      <c r="F932"/>
      <c r="G932">
        <v>14.4</v>
      </c>
      <c r="H932" t="s">
        <v>356</v>
      </c>
      <c r="I932" t="s">
        <v>384</v>
      </c>
      <c r="J932">
        <v>420608</v>
      </c>
      <c r="K932" t="s">
        <v>780</v>
      </c>
      <c r="L932" t="s">
        <v>781</v>
      </c>
      <c r="M932" t="s">
        <v>351</v>
      </c>
    </row>
    <row r="933" spans="1:13" x14ac:dyDescent="0.25">
      <c r="A933" t="s">
        <v>453</v>
      </c>
      <c r="B933" t="s">
        <v>590</v>
      </c>
      <c r="C933" t="s">
        <v>349</v>
      </c>
      <c r="D933"/>
      <c r="E933"/>
      <c r="F933"/>
      <c r="G933">
        <v>15.2</v>
      </c>
      <c r="H933" t="s">
        <v>356</v>
      </c>
      <c r="I933" t="s">
        <v>384</v>
      </c>
      <c r="J933">
        <v>420608</v>
      </c>
      <c r="K933" t="s">
        <v>780</v>
      </c>
      <c r="L933" t="s">
        <v>781</v>
      </c>
      <c r="M933" t="s">
        <v>351</v>
      </c>
    </row>
    <row r="934" spans="1:13" x14ac:dyDescent="0.25">
      <c r="A934" t="s">
        <v>484</v>
      </c>
      <c r="B934"/>
      <c r="C934" t="s">
        <v>349</v>
      </c>
      <c r="D934"/>
      <c r="E934"/>
      <c r="F934" t="s">
        <v>473</v>
      </c>
      <c r="G934">
        <v>24.7</v>
      </c>
      <c r="H934" t="s">
        <v>356</v>
      </c>
      <c r="I934" t="s">
        <v>384</v>
      </c>
      <c r="J934">
        <v>420608</v>
      </c>
      <c r="K934" t="s">
        <v>780</v>
      </c>
      <c r="L934" t="s">
        <v>781</v>
      </c>
      <c r="M934" t="s">
        <v>351</v>
      </c>
    </row>
    <row r="935" spans="1:13" x14ac:dyDescent="0.25">
      <c r="A935" t="s">
        <v>546</v>
      </c>
      <c r="B935"/>
      <c r="C935" t="s">
        <v>349</v>
      </c>
      <c r="D935"/>
      <c r="E935"/>
      <c r="F935"/>
      <c r="G935">
        <v>27.9</v>
      </c>
      <c r="H935" t="s">
        <v>393</v>
      </c>
      <c r="I935" t="s">
        <v>384</v>
      </c>
      <c r="J935">
        <v>420608</v>
      </c>
      <c r="K935" t="s">
        <v>780</v>
      </c>
      <c r="L935" t="s">
        <v>781</v>
      </c>
      <c r="M935" t="s">
        <v>351</v>
      </c>
    </row>
    <row r="936" spans="1:13" x14ac:dyDescent="0.25">
      <c r="A936" t="s">
        <v>472</v>
      </c>
      <c r="B936"/>
      <c r="C936" t="s">
        <v>349</v>
      </c>
      <c r="D936"/>
      <c r="E936"/>
      <c r="F936" t="s">
        <v>500</v>
      </c>
      <c r="G936">
        <v>50.1</v>
      </c>
      <c r="H936" t="s">
        <v>393</v>
      </c>
      <c r="I936" t="s">
        <v>384</v>
      </c>
      <c r="J936">
        <v>420608</v>
      </c>
      <c r="K936" t="s">
        <v>780</v>
      </c>
      <c r="L936" t="s">
        <v>781</v>
      </c>
      <c r="M936" t="s">
        <v>351</v>
      </c>
    </row>
    <row r="937" spans="1:13" x14ac:dyDescent="0.25">
      <c r="A937" t="s">
        <v>462</v>
      </c>
      <c r="B937" t="s">
        <v>449</v>
      </c>
      <c r="C937" t="s">
        <v>349</v>
      </c>
      <c r="D937"/>
      <c r="E937"/>
      <c r="F937"/>
      <c r="G937">
        <v>55.7</v>
      </c>
      <c r="H937" t="s">
        <v>364</v>
      </c>
      <c r="I937" t="s">
        <v>384</v>
      </c>
      <c r="J937">
        <v>420608</v>
      </c>
      <c r="K937" t="s">
        <v>780</v>
      </c>
      <c r="L937" t="s">
        <v>781</v>
      </c>
      <c r="M937" t="s">
        <v>351</v>
      </c>
    </row>
    <row r="938" spans="1:13" x14ac:dyDescent="0.25">
      <c r="A938" t="s">
        <v>432</v>
      </c>
      <c r="B938"/>
      <c r="C938" t="s">
        <v>349</v>
      </c>
      <c r="D938"/>
      <c r="E938"/>
      <c r="F938"/>
      <c r="G938">
        <v>187.2</v>
      </c>
      <c r="H938" t="s">
        <v>403</v>
      </c>
      <c r="I938" t="s">
        <v>384</v>
      </c>
      <c r="J938">
        <v>420608</v>
      </c>
      <c r="K938" t="s">
        <v>780</v>
      </c>
      <c r="L938" t="s">
        <v>781</v>
      </c>
      <c r="M938" t="s">
        <v>351</v>
      </c>
    </row>
    <row r="939" spans="1:13" x14ac:dyDescent="0.25">
      <c r="A939" t="s">
        <v>568</v>
      </c>
      <c r="B939"/>
      <c r="C939" t="s">
        <v>349</v>
      </c>
      <c r="D939"/>
      <c r="E939"/>
      <c r="F939"/>
      <c r="G939">
        <v>226.9</v>
      </c>
      <c r="H939" t="s">
        <v>361</v>
      </c>
      <c r="I939" t="s">
        <v>384</v>
      </c>
      <c r="J939">
        <v>420608</v>
      </c>
      <c r="K939" t="s">
        <v>780</v>
      </c>
      <c r="L939" t="s">
        <v>781</v>
      </c>
      <c r="M939" t="s">
        <v>351</v>
      </c>
    </row>
    <row r="940" spans="1:13" x14ac:dyDescent="0.25">
      <c r="A940" t="s">
        <v>432</v>
      </c>
      <c r="B940"/>
      <c r="C940" t="s">
        <v>349</v>
      </c>
      <c r="D940"/>
      <c r="E940"/>
      <c r="F940"/>
      <c r="G940">
        <v>864.68</v>
      </c>
      <c r="H940" t="s">
        <v>1011</v>
      </c>
      <c r="I940" t="s">
        <v>886</v>
      </c>
      <c r="J940">
        <v>420610</v>
      </c>
      <c r="K940" t="s">
        <v>1012</v>
      </c>
      <c r="L940" t="s">
        <v>888</v>
      </c>
      <c r="M940" t="s">
        <v>351</v>
      </c>
    </row>
    <row r="941" spans="1:13" x14ac:dyDescent="0.25">
      <c r="A941" t="s">
        <v>546</v>
      </c>
      <c r="B941"/>
      <c r="C941" t="s">
        <v>349</v>
      </c>
      <c r="D941"/>
      <c r="E941"/>
      <c r="F941"/>
      <c r="G941">
        <v>1129</v>
      </c>
      <c r="H941" t="s">
        <v>1017</v>
      </c>
      <c r="I941" t="s">
        <v>886</v>
      </c>
      <c r="J941">
        <v>420610</v>
      </c>
      <c r="K941" t="s">
        <v>1012</v>
      </c>
      <c r="L941" t="s">
        <v>888</v>
      </c>
      <c r="M941" t="s">
        <v>351</v>
      </c>
    </row>
    <row r="942" spans="1:13" x14ac:dyDescent="0.25">
      <c r="A942" t="s">
        <v>420</v>
      </c>
      <c r="B942"/>
      <c r="C942" t="s">
        <v>349</v>
      </c>
      <c r="D942"/>
      <c r="E942"/>
      <c r="F942" t="s">
        <v>545</v>
      </c>
      <c r="G942">
        <v>496</v>
      </c>
      <c r="H942" t="s">
        <v>1003</v>
      </c>
      <c r="I942" t="s">
        <v>652</v>
      </c>
      <c r="J942">
        <v>420612</v>
      </c>
      <c r="K942" t="s">
        <v>1005</v>
      </c>
      <c r="L942" t="s">
        <v>837</v>
      </c>
      <c r="M942" t="s">
        <v>351</v>
      </c>
    </row>
    <row r="943" spans="1:13" x14ac:dyDescent="0.25">
      <c r="A943" t="s">
        <v>546</v>
      </c>
      <c r="B943"/>
      <c r="C943" t="s">
        <v>349</v>
      </c>
      <c r="D943"/>
      <c r="E943"/>
      <c r="F943"/>
      <c r="G943">
        <v>1173</v>
      </c>
      <c r="H943" t="s">
        <v>640</v>
      </c>
      <c r="I943" t="s">
        <v>625</v>
      </c>
      <c r="J943">
        <v>460384</v>
      </c>
      <c r="K943" t="s">
        <v>1020</v>
      </c>
      <c r="L943" t="s">
        <v>1021</v>
      </c>
      <c r="M943" t="s">
        <v>351</v>
      </c>
    </row>
    <row r="944" spans="1:13" x14ac:dyDescent="0.25">
      <c r="A944" t="s">
        <v>546</v>
      </c>
      <c r="B944"/>
      <c r="C944" t="s">
        <v>349</v>
      </c>
      <c r="D944"/>
      <c r="E944"/>
      <c r="F944"/>
      <c r="G944">
        <v>30.56</v>
      </c>
      <c r="H944" t="s">
        <v>370</v>
      </c>
      <c r="I944" t="s">
        <v>886</v>
      </c>
      <c r="J944">
        <v>460686</v>
      </c>
      <c r="K944" t="s">
        <v>892</v>
      </c>
      <c r="L944" t="s">
        <v>893</v>
      </c>
      <c r="M944" t="s">
        <v>351</v>
      </c>
    </row>
    <row r="945" spans="1:13" x14ac:dyDescent="0.25">
      <c r="A945" t="s">
        <v>435</v>
      </c>
      <c r="B945" t="s">
        <v>726</v>
      </c>
      <c r="C945" t="s">
        <v>349</v>
      </c>
      <c r="D945"/>
      <c r="E945"/>
      <c r="F945"/>
      <c r="G945">
        <v>0.3</v>
      </c>
      <c r="H945" t="s">
        <v>356</v>
      </c>
      <c r="I945" t="s">
        <v>384</v>
      </c>
      <c r="J945">
        <v>460786</v>
      </c>
      <c r="K945" t="s">
        <v>727</v>
      </c>
      <c r="L945" t="s">
        <v>728</v>
      </c>
      <c r="M945" t="s">
        <v>351</v>
      </c>
    </row>
    <row r="946" spans="1:13" x14ac:dyDescent="0.25">
      <c r="A946" t="s">
        <v>371</v>
      </c>
      <c r="B946" t="s">
        <v>503</v>
      </c>
      <c r="C946" t="s">
        <v>349</v>
      </c>
      <c r="D946"/>
      <c r="E946"/>
      <c r="F946" t="s">
        <v>380</v>
      </c>
      <c r="G946">
        <v>1</v>
      </c>
      <c r="H946" t="s">
        <v>356</v>
      </c>
      <c r="I946" t="s">
        <v>384</v>
      </c>
      <c r="J946">
        <v>460786</v>
      </c>
      <c r="K946" t="s">
        <v>727</v>
      </c>
      <c r="L946" t="s">
        <v>728</v>
      </c>
      <c r="M946" t="s">
        <v>351</v>
      </c>
    </row>
    <row r="947" spans="1:13" x14ac:dyDescent="0.25">
      <c r="A947" t="s">
        <v>787</v>
      </c>
      <c r="B947" t="s">
        <v>788</v>
      </c>
      <c r="C947" t="s">
        <v>349</v>
      </c>
      <c r="D947" t="s">
        <v>789</v>
      </c>
      <c r="E947"/>
      <c r="F947"/>
      <c r="G947">
        <v>1.3</v>
      </c>
      <c r="H947" t="s">
        <v>356</v>
      </c>
      <c r="I947" t="s">
        <v>384</v>
      </c>
      <c r="J947">
        <v>460786</v>
      </c>
      <c r="K947" t="s">
        <v>727</v>
      </c>
      <c r="L947" t="s">
        <v>728</v>
      </c>
      <c r="M947" t="s">
        <v>351</v>
      </c>
    </row>
    <row r="948" spans="1:13" x14ac:dyDescent="0.25">
      <c r="A948" t="s">
        <v>413</v>
      </c>
      <c r="B948"/>
      <c r="C948" t="s">
        <v>349</v>
      </c>
      <c r="D948"/>
      <c r="E948"/>
      <c r="F948" t="s">
        <v>418</v>
      </c>
      <c r="G948">
        <v>1.5</v>
      </c>
      <c r="H948" t="s">
        <v>361</v>
      </c>
      <c r="I948" t="s">
        <v>384</v>
      </c>
      <c r="J948">
        <v>460786</v>
      </c>
      <c r="K948" t="s">
        <v>727</v>
      </c>
      <c r="L948" t="s">
        <v>728</v>
      </c>
      <c r="M948" t="s">
        <v>351</v>
      </c>
    </row>
    <row r="949" spans="1:13" x14ac:dyDescent="0.25">
      <c r="A949" t="s">
        <v>420</v>
      </c>
      <c r="B949"/>
      <c r="C949" t="s">
        <v>349</v>
      </c>
      <c r="D949"/>
      <c r="E949"/>
      <c r="F949" t="s">
        <v>513</v>
      </c>
      <c r="G949">
        <v>1.6</v>
      </c>
      <c r="H949" t="s">
        <v>364</v>
      </c>
      <c r="I949" t="s">
        <v>384</v>
      </c>
      <c r="J949">
        <v>460786</v>
      </c>
      <c r="K949" t="s">
        <v>727</v>
      </c>
      <c r="L949" t="s">
        <v>728</v>
      </c>
      <c r="M949" t="s">
        <v>351</v>
      </c>
    </row>
    <row r="950" spans="1:13" x14ac:dyDescent="0.25">
      <c r="A950" t="s">
        <v>468</v>
      </c>
      <c r="B950"/>
      <c r="C950" t="s">
        <v>349</v>
      </c>
      <c r="D950"/>
      <c r="E950"/>
      <c r="F950" t="s">
        <v>428</v>
      </c>
      <c r="G950">
        <v>1.9</v>
      </c>
      <c r="H950" t="s">
        <v>356</v>
      </c>
      <c r="I950" t="s">
        <v>384</v>
      </c>
      <c r="J950">
        <v>460786</v>
      </c>
      <c r="K950" t="s">
        <v>727</v>
      </c>
      <c r="L950" t="s">
        <v>728</v>
      </c>
      <c r="M950" t="s">
        <v>351</v>
      </c>
    </row>
    <row r="951" spans="1:13" x14ac:dyDescent="0.25">
      <c r="A951" t="s">
        <v>447</v>
      </c>
      <c r="B951"/>
      <c r="C951" t="s">
        <v>349</v>
      </c>
      <c r="D951"/>
      <c r="E951"/>
      <c r="F951" t="s">
        <v>431</v>
      </c>
      <c r="G951">
        <v>2</v>
      </c>
      <c r="H951" t="s">
        <v>368</v>
      </c>
      <c r="I951" t="s">
        <v>384</v>
      </c>
      <c r="J951">
        <v>460786</v>
      </c>
      <c r="K951" t="s">
        <v>727</v>
      </c>
      <c r="L951" t="s">
        <v>728</v>
      </c>
      <c r="M951" t="s">
        <v>351</v>
      </c>
    </row>
    <row r="952" spans="1:13" x14ac:dyDescent="0.25">
      <c r="A952" t="s">
        <v>540</v>
      </c>
      <c r="B952"/>
      <c r="C952" t="s">
        <v>349</v>
      </c>
      <c r="D952"/>
      <c r="E952"/>
      <c r="F952"/>
      <c r="G952">
        <v>3.5</v>
      </c>
      <c r="H952" t="s">
        <v>356</v>
      </c>
      <c r="I952" t="s">
        <v>384</v>
      </c>
      <c r="J952">
        <v>460786</v>
      </c>
      <c r="K952" t="s">
        <v>727</v>
      </c>
      <c r="L952" t="s">
        <v>728</v>
      </c>
      <c r="M952" t="s">
        <v>351</v>
      </c>
    </row>
    <row r="953" spans="1:13" x14ac:dyDescent="0.25">
      <c r="A953" t="s">
        <v>469</v>
      </c>
      <c r="B953" t="s">
        <v>852</v>
      </c>
      <c r="C953" t="s">
        <v>349</v>
      </c>
      <c r="D953"/>
      <c r="E953"/>
      <c r="F953"/>
      <c r="G953">
        <v>7.2</v>
      </c>
      <c r="H953" t="s">
        <v>364</v>
      </c>
      <c r="I953" t="s">
        <v>384</v>
      </c>
      <c r="J953">
        <v>460786</v>
      </c>
      <c r="K953" t="s">
        <v>727</v>
      </c>
      <c r="L953" t="s">
        <v>728</v>
      </c>
      <c r="M953" t="s">
        <v>351</v>
      </c>
    </row>
    <row r="954" spans="1:13" x14ac:dyDescent="0.25">
      <c r="A954" t="s">
        <v>560</v>
      </c>
      <c r="B954"/>
      <c r="C954" t="s">
        <v>349</v>
      </c>
      <c r="D954" t="s">
        <v>879</v>
      </c>
      <c r="E954"/>
      <c r="F954"/>
      <c r="G954">
        <v>12</v>
      </c>
      <c r="H954" t="s">
        <v>356</v>
      </c>
      <c r="I954" t="s">
        <v>384</v>
      </c>
      <c r="J954">
        <v>460786</v>
      </c>
      <c r="K954" t="s">
        <v>727</v>
      </c>
      <c r="L954" t="s">
        <v>728</v>
      </c>
      <c r="M954" t="s">
        <v>351</v>
      </c>
    </row>
    <row r="955" spans="1:13" x14ac:dyDescent="0.25">
      <c r="A955" t="s">
        <v>579</v>
      </c>
      <c r="B955" t="s">
        <v>580</v>
      </c>
      <c r="C955" t="s">
        <v>349</v>
      </c>
      <c r="D955"/>
      <c r="E955"/>
      <c r="F955"/>
      <c r="G955">
        <v>12.5</v>
      </c>
      <c r="H955" t="s">
        <v>356</v>
      </c>
      <c r="I955" t="s">
        <v>384</v>
      </c>
      <c r="J955">
        <v>460786</v>
      </c>
      <c r="K955" t="s">
        <v>727</v>
      </c>
      <c r="L955" t="s">
        <v>728</v>
      </c>
      <c r="M955" t="s">
        <v>351</v>
      </c>
    </row>
    <row r="956" spans="1:13" x14ac:dyDescent="0.25">
      <c r="A956" t="s">
        <v>432</v>
      </c>
      <c r="B956"/>
      <c r="C956" t="s">
        <v>349</v>
      </c>
      <c r="D956"/>
      <c r="E956"/>
      <c r="F956"/>
      <c r="G956">
        <v>14.2</v>
      </c>
      <c r="H956" t="s">
        <v>356</v>
      </c>
      <c r="I956" t="s">
        <v>384</v>
      </c>
      <c r="J956">
        <v>460786</v>
      </c>
      <c r="K956" t="s">
        <v>727</v>
      </c>
      <c r="L956" t="s">
        <v>728</v>
      </c>
      <c r="M956" t="s">
        <v>351</v>
      </c>
    </row>
    <row r="957" spans="1:13" x14ac:dyDescent="0.25">
      <c r="A957" t="s">
        <v>453</v>
      </c>
      <c r="B957" t="s">
        <v>590</v>
      </c>
      <c r="C957" t="s">
        <v>349</v>
      </c>
      <c r="D957"/>
      <c r="E957"/>
      <c r="F957"/>
      <c r="G957">
        <v>15.2</v>
      </c>
      <c r="H957" t="s">
        <v>356</v>
      </c>
      <c r="I957" t="s">
        <v>384</v>
      </c>
      <c r="J957">
        <v>460786</v>
      </c>
      <c r="K957" t="s">
        <v>727</v>
      </c>
      <c r="L957" t="s">
        <v>728</v>
      </c>
      <c r="M957" t="s">
        <v>351</v>
      </c>
    </row>
    <row r="958" spans="1:13" x14ac:dyDescent="0.25">
      <c r="A958" t="s">
        <v>484</v>
      </c>
      <c r="B958"/>
      <c r="C958" t="s">
        <v>349</v>
      </c>
      <c r="D958"/>
      <c r="E958"/>
      <c r="F958" t="s">
        <v>473</v>
      </c>
      <c r="G958">
        <v>24.7</v>
      </c>
      <c r="H958" t="s">
        <v>356</v>
      </c>
      <c r="I958" t="s">
        <v>384</v>
      </c>
      <c r="J958">
        <v>460786</v>
      </c>
      <c r="K958" t="s">
        <v>727</v>
      </c>
      <c r="L958" t="s">
        <v>728</v>
      </c>
      <c r="M958" t="s">
        <v>351</v>
      </c>
    </row>
    <row r="959" spans="1:13" x14ac:dyDescent="0.25">
      <c r="A959" t="s">
        <v>462</v>
      </c>
      <c r="B959" t="s">
        <v>449</v>
      </c>
      <c r="C959" t="s">
        <v>349</v>
      </c>
      <c r="D959"/>
      <c r="E959"/>
      <c r="F959"/>
      <c r="G959">
        <v>26.3</v>
      </c>
      <c r="H959" t="s">
        <v>356</v>
      </c>
      <c r="I959" t="s">
        <v>384</v>
      </c>
      <c r="J959">
        <v>460786</v>
      </c>
      <c r="K959" t="s">
        <v>727</v>
      </c>
      <c r="L959" t="s">
        <v>728</v>
      </c>
      <c r="M959" t="s">
        <v>351</v>
      </c>
    </row>
    <row r="960" spans="1:13" x14ac:dyDescent="0.25">
      <c r="A960" t="s">
        <v>462</v>
      </c>
      <c r="B960" t="s">
        <v>599</v>
      </c>
      <c r="C960" t="s">
        <v>349</v>
      </c>
      <c r="D960"/>
      <c r="E960"/>
      <c r="F960"/>
      <c r="G960">
        <v>29</v>
      </c>
      <c r="H960" t="s">
        <v>356</v>
      </c>
      <c r="I960" t="s">
        <v>384</v>
      </c>
      <c r="J960">
        <v>460786</v>
      </c>
      <c r="K960" t="s">
        <v>727</v>
      </c>
      <c r="L960" t="s">
        <v>728</v>
      </c>
      <c r="M960" t="s">
        <v>351</v>
      </c>
    </row>
    <row r="961" spans="1:14" x14ac:dyDescent="0.25">
      <c r="A961" t="s">
        <v>472</v>
      </c>
      <c r="B961"/>
      <c r="C961" t="s">
        <v>349</v>
      </c>
      <c r="D961"/>
      <c r="E961"/>
      <c r="F961" t="s">
        <v>424</v>
      </c>
      <c r="G961">
        <v>39.799999999999997</v>
      </c>
      <c r="H961" t="s">
        <v>367</v>
      </c>
      <c r="I961" t="s">
        <v>384</v>
      </c>
      <c r="J961">
        <v>460786</v>
      </c>
      <c r="K961" t="s">
        <v>727</v>
      </c>
      <c r="L961" t="s">
        <v>728</v>
      </c>
      <c r="M961" t="s">
        <v>351</v>
      </c>
    </row>
    <row r="962" spans="1:14" x14ac:dyDescent="0.25">
      <c r="A962" t="s">
        <v>546</v>
      </c>
      <c r="B962"/>
      <c r="C962" t="s">
        <v>349</v>
      </c>
      <c r="D962"/>
      <c r="E962"/>
      <c r="F962"/>
      <c r="G962">
        <v>46</v>
      </c>
      <c r="H962" t="s">
        <v>604</v>
      </c>
      <c r="I962" t="s">
        <v>384</v>
      </c>
      <c r="J962">
        <v>460786</v>
      </c>
      <c r="K962" t="s">
        <v>727</v>
      </c>
      <c r="L962" t="s">
        <v>728</v>
      </c>
      <c r="M962" t="s">
        <v>351</v>
      </c>
    </row>
    <row r="963" spans="1:14" x14ac:dyDescent="0.25">
      <c r="A963" t="s">
        <v>432</v>
      </c>
      <c r="B963"/>
      <c r="C963" t="s">
        <v>349</v>
      </c>
      <c r="D963"/>
      <c r="E963"/>
      <c r="F963"/>
      <c r="G963">
        <v>130.19999999999999</v>
      </c>
      <c r="H963" t="s">
        <v>624</v>
      </c>
      <c r="I963" t="s">
        <v>384</v>
      </c>
      <c r="J963">
        <v>460786</v>
      </c>
      <c r="K963" t="s">
        <v>727</v>
      </c>
      <c r="L963" t="s">
        <v>728</v>
      </c>
      <c r="M963" t="s">
        <v>351</v>
      </c>
    </row>
    <row r="964" spans="1:14" x14ac:dyDescent="0.25">
      <c r="A964" t="s">
        <v>568</v>
      </c>
      <c r="B964"/>
      <c r="C964" t="s">
        <v>349</v>
      </c>
      <c r="D964"/>
      <c r="E964"/>
      <c r="F964"/>
      <c r="G964">
        <v>295</v>
      </c>
      <c r="H964" t="s">
        <v>509</v>
      </c>
      <c r="I964" t="s">
        <v>384</v>
      </c>
      <c r="J964">
        <v>460786</v>
      </c>
      <c r="K964" t="s">
        <v>727</v>
      </c>
      <c r="L964" t="s">
        <v>728</v>
      </c>
      <c r="M964" t="s">
        <v>351</v>
      </c>
    </row>
    <row r="965" spans="1:14" x14ac:dyDescent="0.25">
      <c r="A965" t="s">
        <v>468</v>
      </c>
      <c r="B965"/>
      <c r="C965" t="s">
        <v>349</v>
      </c>
      <c r="D965"/>
      <c r="E965"/>
      <c r="F965" t="s">
        <v>514</v>
      </c>
      <c r="G965">
        <v>300</v>
      </c>
      <c r="H965" t="s">
        <v>993</v>
      </c>
      <c r="I965" t="s">
        <v>652</v>
      </c>
      <c r="J965">
        <v>460886</v>
      </c>
      <c r="K965" t="s">
        <v>994</v>
      </c>
      <c r="L965" t="s">
        <v>678</v>
      </c>
      <c r="M965" t="s">
        <v>351</v>
      </c>
    </row>
    <row r="966" spans="1:14" x14ac:dyDescent="0.25">
      <c r="A966" t="s">
        <v>546</v>
      </c>
      <c r="B966"/>
      <c r="C966" t="s">
        <v>349</v>
      </c>
      <c r="D966"/>
      <c r="E966"/>
      <c r="F966"/>
      <c r="G966">
        <v>681.9</v>
      </c>
      <c r="H966" t="s">
        <v>639</v>
      </c>
      <c r="I966" t="s">
        <v>652</v>
      </c>
      <c r="J966">
        <v>461086</v>
      </c>
      <c r="K966" t="s">
        <v>1007</v>
      </c>
      <c r="L966" t="s">
        <v>678</v>
      </c>
      <c r="M966" t="s">
        <v>351</v>
      </c>
    </row>
    <row r="967" spans="1:14" x14ac:dyDescent="0.25">
      <c r="A967" t="s">
        <v>546</v>
      </c>
      <c r="B967"/>
      <c r="C967" t="s">
        <v>349</v>
      </c>
      <c r="D967"/>
      <c r="E967"/>
      <c r="F967"/>
      <c r="G967">
        <v>681.9</v>
      </c>
      <c r="H967" t="s">
        <v>639</v>
      </c>
      <c r="I967" t="s">
        <v>652</v>
      </c>
      <c r="J967">
        <v>461086</v>
      </c>
      <c r="K967" t="s">
        <v>1007</v>
      </c>
      <c r="L967" t="s">
        <v>678</v>
      </c>
      <c r="M967" t="s">
        <v>351</v>
      </c>
    </row>
    <row r="968" spans="1:14" x14ac:dyDescent="0.25">
      <c r="A968" t="s">
        <v>1117</v>
      </c>
      <c r="B968"/>
      <c r="C968"/>
      <c r="D968"/>
      <c r="E968"/>
      <c r="F968" t="s">
        <v>930</v>
      </c>
      <c r="G968">
        <v>48</v>
      </c>
      <c r="H968" t="s">
        <v>359</v>
      </c>
      <c r="I968" t="s">
        <v>1118</v>
      </c>
      <c r="J968" t="str">
        <f>("0140884")</f>
        <v>0140884</v>
      </c>
      <c r="K968" t="s">
        <v>1119</v>
      </c>
      <c r="L968" t="str">
        <f>("3606810211")</f>
        <v>3606810211</v>
      </c>
      <c r="M968" t="s">
        <v>351</v>
      </c>
      <c r="N968"/>
    </row>
    <row r="969" spans="1:14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spans="1:14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spans="1:14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spans="1:14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spans="1:14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spans="1:14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spans="1:14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spans="1:14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spans="1:13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spans="1:13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spans="1:13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spans="1:13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spans="1:13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spans="1:13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spans="1:13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spans="1:13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spans="1:1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spans="1:13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spans="1:13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spans="1:13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spans="1:13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spans="1:13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spans="1:1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spans="1:13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spans="1:13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spans="1:13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spans="1:1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spans="1:13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spans="1:13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spans="1:13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spans="1:13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spans="1:13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spans="1:1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spans="1:13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spans="1:13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spans="1:13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spans="1:13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spans="1:13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spans="1:13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spans="1:13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spans="1:13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spans="1:13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spans="1:13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spans="1:13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spans="1:13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spans="1:13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spans="1:13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spans="1:13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spans="1:13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spans="1:13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spans="1:13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spans="1:13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spans="1:13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spans="1:13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spans="1:13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spans="1:13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spans="1:13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spans="1:13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spans="1:1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spans="1:13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spans="1:13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spans="1:13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spans="1:13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spans="1:13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spans="1:13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spans="1:13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spans="1:13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spans="1:13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spans="1:13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spans="1:13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spans="1:13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spans="1:13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spans="1:13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spans="1:13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spans="1:13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spans="1:13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spans="1:13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spans="1:13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spans="1:13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spans="1:13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spans="1:13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spans="1:13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spans="1:13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spans="1:13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spans="1:13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spans="1:13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spans="1:13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spans="1:13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spans="1:13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spans="1:13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spans="1:13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spans="1:13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spans="1:13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spans="1:13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spans="1:13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spans="1:13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spans="1:13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spans="1:1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spans="1:13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spans="1:13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spans="1:13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spans="1:13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spans="1:1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spans="1:13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spans="1:13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spans="1:13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spans="1:1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spans="1:13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spans="1:13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spans="1:13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spans="1:13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spans="1:13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spans="1:13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spans="1:13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spans="1:13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spans="1:13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spans="1:13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spans="1:13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spans="1:13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spans="1:13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spans="1:13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spans="1:13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spans="1:13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spans="1:13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spans="1:13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spans="1:13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spans="1:13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spans="1:13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spans="1:13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spans="1:13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spans="1:13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spans="1:13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spans="1:13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spans="1:13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spans="1:13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spans="1:13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spans="1:13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spans="1:13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spans="1:13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spans="1:13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spans="1:13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spans="1:13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spans="1:13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spans="1:13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spans="1:13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spans="1:13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spans="1:13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spans="1:13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spans="1:13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spans="1:13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spans="1:13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spans="1:13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spans="1:13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spans="1:13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spans="1:13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spans="1:13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spans="1:13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spans="1:13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spans="1:13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spans="1:13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spans="1:13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spans="1:13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spans="1:13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spans="1:13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spans="1:13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spans="1:13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spans="1:13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spans="1:13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spans="1:13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spans="1:13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spans="1:13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spans="1:13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spans="1:13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spans="1:13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spans="1:13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spans="1:13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spans="1:13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spans="1:13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spans="1:13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spans="1:13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spans="1:13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spans="1:13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spans="1:13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spans="1:13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spans="1:13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spans="1:13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spans="1:13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spans="1:13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spans="1:13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spans="1:13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spans="1:13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spans="1:13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spans="1:13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spans="1:13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spans="1:13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spans="1:13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spans="1:13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spans="1:13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spans="1:13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spans="1:13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spans="1:13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spans="1:13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spans="1:13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spans="1:13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spans="1:13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spans="1:13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spans="1:13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spans="1:13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spans="1:13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spans="1:13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spans="1:13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spans="1:13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spans="1:13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spans="1:13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spans="1:13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spans="1:13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spans="1:13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spans="1:13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spans="1:13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spans="1:13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spans="1:13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spans="1:13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spans="1:13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spans="1:13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spans="1:13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spans="1:13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spans="1:13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spans="1:13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spans="1:13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spans="1:13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spans="1:13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spans="1:13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spans="1:13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spans="1:13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spans="1:13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spans="1:13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spans="1:13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spans="1:13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spans="1:13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spans="1:13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spans="1:13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spans="1:13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spans="1:13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spans="1:13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spans="1:13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spans="1:13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spans="1:13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spans="1:13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spans="1:13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spans="1:13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spans="1:13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spans="1:13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spans="1:13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spans="1:13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spans="1:13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spans="1:13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spans="1:13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spans="1:13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spans="1:13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spans="1:13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spans="1:13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spans="1:13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spans="1:13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spans="1:13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spans="1:13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spans="1:13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spans="1:13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spans="1:13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spans="1:13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spans="1:13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spans="1:13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spans="1:13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spans="1:13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spans="1:13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spans="1:13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spans="1:13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spans="1:13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spans="1:13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spans="1:13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spans="1:13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spans="1:13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spans="1:13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spans="1:13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spans="1:13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spans="1:13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spans="1:13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spans="1:13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spans="1:13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spans="1:13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spans="1:13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spans="1:13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spans="1:13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spans="1:13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spans="1:13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spans="1:13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spans="1:13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spans="1:13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spans="1:13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spans="1:13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spans="1:13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spans="1:13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spans="1:13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spans="1:13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spans="1:13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spans="1:13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spans="1:13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spans="1:13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spans="1:13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spans="1:13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spans="1:13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spans="1:13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spans="1:13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spans="1:13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spans="1:13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spans="1:13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spans="1:13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spans="1:13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spans="1:13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spans="1:13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spans="1:13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spans="1:13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spans="1:13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spans="1:13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spans="1:13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spans="1:13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spans="1:13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spans="1:13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spans="1:13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spans="1:13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spans="1:13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spans="1:13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spans="1:13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spans="1:13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spans="1:13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spans="1:13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spans="1:13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spans="1:13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spans="1:13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spans="1:13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spans="1:13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spans="1:13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spans="1:13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spans="1:13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spans="1:13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spans="1:13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spans="1:13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spans="1:13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spans="1:13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spans="1:13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spans="1:13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spans="1:13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spans="1:13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spans="1:13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spans="1:13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spans="1:13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spans="1:13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spans="1:13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spans="1:13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spans="1:13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spans="1:13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spans="1:13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spans="1:13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spans="1:13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spans="1:13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spans="1:13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spans="1:13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spans="1:13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spans="1:13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spans="1:13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spans="1:13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spans="1:13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spans="1:13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spans="1:13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spans="1:13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spans="1:13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spans="1:13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spans="1:13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spans="1:13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spans="1:13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spans="1:13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spans="1:13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spans="1:13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spans="1:13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spans="1:13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spans="1:13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spans="1:13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spans="1:13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spans="1:13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spans="1:13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spans="1:13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spans="1:13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spans="1:13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spans="1:13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spans="1:13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spans="1:13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spans="1:13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spans="1:13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spans="1:13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spans="1:13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spans="1:13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spans="1:13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spans="1:13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spans="1:13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spans="1:13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spans="1:13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</sheetData>
  <autoFilter ref="A7:M968" xr:uid="{00000000-0001-0000-0100-000000000000}"/>
  <sortState xmlns:xlrd2="http://schemas.microsoft.com/office/spreadsheetml/2017/richdata2" ref="A8:O968">
    <sortCondition ref="J8:J968"/>
  </sortState>
  <mergeCells count="14">
    <mergeCell ref="A2:M2"/>
    <mergeCell ref="A3:M3"/>
    <mergeCell ref="B4:F4"/>
    <mergeCell ref="G4:H4"/>
    <mergeCell ref="J4:K4"/>
    <mergeCell ref="L4:M4"/>
    <mergeCell ref="B6:F6"/>
    <mergeCell ref="G6:H6"/>
    <mergeCell ref="J6:K6"/>
    <mergeCell ref="L6:M6"/>
    <mergeCell ref="B5:F5"/>
    <mergeCell ref="G5:H5"/>
    <mergeCell ref="J5:K5"/>
    <mergeCell ref="L5:M5"/>
  </mergeCells>
  <printOptions horizontalCentered="1"/>
  <pageMargins left="0.3" right="0.3" top="0.5" bottom="0.5" header="0.3" footer="0.3"/>
  <pageSetup scale="81" fitToHeight="0" orientation="landscape" r:id="rId1"/>
  <headerFooter>
    <oddHeader>&amp;R&amp;P of &amp;N</oddHeader>
    <oddFooter>&amp;LSignature of Preparer
Greg Stewart&amp;RDate Prepared:
______________________________</oddFooter>
  </headerFooter>
  <ignoredErrors>
    <ignoredError sqref="J8:J2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3"/>
  <sheetViews>
    <sheetView topLeftCell="A169" workbookViewId="0">
      <selection activeCell="A97" sqref="A97"/>
    </sheetView>
  </sheetViews>
  <sheetFormatPr defaultRowHeight="15" x14ac:dyDescent="0.25"/>
  <cols>
    <col min="1" max="1" width="70" style="4" bestFit="1" customWidth="1"/>
    <col min="2" max="2" width="21.42578125" style="4" bestFit="1" customWidth="1"/>
  </cols>
  <sheetData>
    <row r="1" spans="1:2" x14ac:dyDescent="0.25">
      <c r="A1" s="4" t="s">
        <v>91</v>
      </c>
      <c r="B1" s="4" t="s">
        <v>92</v>
      </c>
    </row>
    <row r="2" spans="1:2" x14ac:dyDescent="0.25">
      <c r="A2" s="4" t="s">
        <v>31</v>
      </c>
    </row>
    <row r="3" spans="1:2" x14ac:dyDescent="0.25">
      <c r="A3" s="4" t="s">
        <v>334</v>
      </c>
      <c r="B3" s="4" t="s">
        <v>209</v>
      </c>
    </row>
    <row r="4" spans="1:2" x14ac:dyDescent="0.25">
      <c r="A4" s="4" t="s">
        <v>40</v>
      </c>
    </row>
    <row r="5" spans="1:2" x14ac:dyDescent="0.25">
      <c r="A5" s="4" t="s">
        <v>181</v>
      </c>
    </row>
    <row r="6" spans="1:2" x14ac:dyDescent="0.25">
      <c r="A6" s="4" t="s">
        <v>215</v>
      </c>
    </row>
    <row r="7" spans="1:2" x14ac:dyDescent="0.25">
      <c r="A7" s="4" t="s">
        <v>35</v>
      </c>
    </row>
    <row r="8" spans="1:2" x14ac:dyDescent="0.25">
      <c r="A8" s="4" t="s">
        <v>158</v>
      </c>
    </row>
    <row r="9" spans="1:2" ht="39" x14ac:dyDescent="0.25">
      <c r="A9" s="4" t="s">
        <v>194</v>
      </c>
      <c r="B9" s="15" t="s">
        <v>333</v>
      </c>
    </row>
    <row r="10" spans="1:2" x14ac:dyDescent="0.25">
      <c r="A10" s="4" t="s">
        <v>192</v>
      </c>
    </row>
    <row r="11" spans="1:2" x14ac:dyDescent="0.25">
      <c r="A11" s="4" t="s">
        <v>193</v>
      </c>
    </row>
    <row r="12" spans="1:2" x14ac:dyDescent="0.25">
      <c r="A12" s="4" t="s">
        <v>147</v>
      </c>
    </row>
    <row r="13" spans="1:2" x14ac:dyDescent="0.25">
      <c r="A13" s="4" t="s">
        <v>335</v>
      </c>
    </row>
    <row r="14" spans="1:2" x14ac:dyDescent="0.25">
      <c r="A14" s="4" t="s">
        <v>140</v>
      </c>
    </row>
    <row r="15" spans="1:2" x14ac:dyDescent="0.25">
      <c r="A15" s="4" t="s">
        <v>94</v>
      </c>
      <c r="B15" s="4" t="s">
        <v>95</v>
      </c>
    </row>
    <row r="16" spans="1:2" x14ac:dyDescent="0.25">
      <c r="A16" s="4" t="s">
        <v>188</v>
      </c>
    </row>
    <row r="17" spans="1:2" x14ac:dyDescent="0.25">
      <c r="A17" s="4" t="s">
        <v>23</v>
      </c>
    </row>
    <row r="18" spans="1:2" x14ac:dyDescent="0.25">
      <c r="A18" s="4" t="s">
        <v>133</v>
      </c>
    </row>
    <row r="19" spans="1:2" x14ac:dyDescent="0.25">
      <c r="A19" s="4" t="s">
        <v>10</v>
      </c>
      <c r="B19" s="4" t="s">
        <v>93</v>
      </c>
    </row>
    <row r="20" spans="1:2" x14ac:dyDescent="0.25">
      <c r="A20" s="4" t="s">
        <v>7</v>
      </c>
      <c r="B20" s="4" t="s">
        <v>93</v>
      </c>
    </row>
    <row r="21" spans="1:2" x14ac:dyDescent="0.25">
      <c r="A21" s="4" t="s">
        <v>178</v>
      </c>
      <c r="B21" s="4" t="s">
        <v>93</v>
      </c>
    </row>
    <row r="22" spans="1:2" x14ac:dyDescent="0.25">
      <c r="A22" s="4" t="s">
        <v>205</v>
      </c>
      <c r="B22" s="4" t="s">
        <v>93</v>
      </c>
    </row>
    <row r="23" spans="1:2" x14ac:dyDescent="0.25">
      <c r="A23" s="4" t="s">
        <v>206</v>
      </c>
      <c r="B23" s="4" t="s">
        <v>93</v>
      </c>
    </row>
    <row r="24" spans="1:2" x14ac:dyDescent="0.25">
      <c r="A24" s="4" t="s">
        <v>39</v>
      </c>
      <c r="B24" s="4" t="s">
        <v>93</v>
      </c>
    </row>
    <row r="25" spans="1:2" x14ac:dyDescent="0.25">
      <c r="A25" s="4" t="s">
        <v>61</v>
      </c>
      <c r="B25" s="4" t="s">
        <v>93</v>
      </c>
    </row>
    <row r="26" spans="1:2" x14ac:dyDescent="0.25">
      <c r="A26" s="4" t="s">
        <v>41</v>
      </c>
      <c r="B26" s="4" t="s">
        <v>93</v>
      </c>
    </row>
    <row r="27" spans="1:2" x14ac:dyDescent="0.25">
      <c r="A27" s="4" t="s">
        <v>62</v>
      </c>
      <c r="B27" s="4" t="s">
        <v>93</v>
      </c>
    </row>
    <row r="28" spans="1:2" x14ac:dyDescent="0.25">
      <c r="A28" s="4" t="s">
        <v>212</v>
      </c>
      <c r="B28" s="4" t="s">
        <v>93</v>
      </c>
    </row>
    <row r="29" spans="1:2" x14ac:dyDescent="0.25">
      <c r="A29" s="4" t="s">
        <v>64</v>
      </c>
      <c r="B29" s="4" t="s">
        <v>93</v>
      </c>
    </row>
    <row r="30" spans="1:2" x14ac:dyDescent="0.25">
      <c r="A30" s="4" t="s">
        <v>63</v>
      </c>
      <c r="B30" s="4" t="s">
        <v>93</v>
      </c>
    </row>
    <row r="31" spans="1:2" x14ac:dyDescent="0.25">
      <c r="A31" s="4" t="s">
        <v>164</v>
      </c>
      <c r="B31" s="4" t="s">
        <v>93</v>
      </c>
    </row>
    <row r="32" spans="1:2" x14ac:dyDescent="0.25">
      <c r="A32" s="4" t="s">
        <v>165</v>
      </c>
      <c r="B32" s="4" t="s">
        <v>93</v>
      </c>
    </row>
    <row r="33" spans="1:2" x14ac:dyDescent="0.25">
      <c r="A33" s="4" t="s">
        <v>202</v>
      </c>
      <c r="B33" s="4" t="s">
        <v>93</v>
      </c>
    </row>
    <row r="34" spans="1:2" x14ac:dyDescent="0.25">
      <c r="A34" s="4" t="s">
        <v>203</v>
      </c>
      <c r="B34" s="4" t="s">
        <v>93</v>
      </c>
    </row>
    <row r="35" spans="1:2" x14ac:dyDescent="0.25">
      <c r="A35" s="4" t="s">
        <v>204</v>
      </c>
      <c r="B35" s="4" t="s">
        <v>93</v>
      </c>
    </row>
    <row r="36" spans="1:2" x14ac:dyDescent="0.25">
      <c r="A36" s="4" t="s">
        <v>65</v>
      </c>
      <c r="B36" s="4" t="s">
        <v>93</v>
      </c>
    </row>
    <row r="37" spans="1:2" x14ac:dyDescent="0.25">
      <c r="A37" s="4" t="s">
        <v>145</v>
      </c>
      <c r="B37" s="4" t="s">
        <v>93</v>
      </c>
    </row>
    <row r="38" spans="1:2" x14ac:dyDescent="0.25">
      <c r="A38" s="4" t="s">
        <v>139</v>
      </c>
      <c r="B38" s="4" t="s">
        <v>93</v>
      </c>
    </row>
    <row r="39" spans="1:2" x14ac:dyDescent="0.25">
      <c r="A39" s="4" t="s">
        <v>12</v>
      </c>
      <c r="B39" s="4" t="s">
        <v>93</v>
      </c>
    </row>
    <row r="40" spans="1:2" x14ac:dyDescent="0.25">
      <c r="A40" s="4" t="s">
        <v>66</v>
      </c>
      <c r="B40" s="4" t="s">
        <v>93</v>
      </c>
    </row>
    <row r="41" spans="1:2" x14ac:dyDescent="0.25">
      <c r="A41" s="4" t="s">
        <v>196</v>
      </c>
    </row>
    <row r="42" spans="1:2" x14ac:dyDescent="0.25">
      <c r="A42" s="4" t="s">
        <v>195</v>
      </c>
    </row>
    <row r="43" spans="1:2" x14ac:dyDescent="0.25">
      <c r="A43" s="4" t="s">
        <v>150</v>
      </c>
      <c r="B43" s="4" t="s">
        <v>93</v>
      </c>
    </row>
    <row r="44" spans="1:2" x14ac:dyDescent="0.25">
      <c r="A44" s="4" t="s">
        <v>200</v>
      </c>
      <c r="B44" s="4" t="s">
        <v>93</v>
      </c>
    </row>
    <row r="45" spans="1:2" x14ac:dyDescent="0.25">
      <c r="A45" s="4" t="s">
        <v>17</v>
      </c>
      <c r="B45" s="4" t="s">
        <v>93</v>
      </c>
    </row>
    <row r="46" spans="1:2" x14ac:dyDescent="0.25">
      <c r="A46" s="4" t="s">
        <v>18</v>
      </c>
      <c r="B46" s="4" t="s">
        <v>93</v>
      </c>
    </row>
    <row r="47" spans="1:2" x14ac:dyDescent="0.25">
      <c r="A47" s="4" t="s">
        <v>19</v>
      </c>
      <c r="B47" s="4" t="s">
        <v>93</v>
      </c>
    </row>
    <row r="48" spans="1:2" x14ac:dyDescent="0.25">
      <c r="A48" s="4" t="s">
        <v>14</v>
      </c>
      <c r="B48" s="4" t="s">
        <v>93</v>
      </c>
    </row>
    <row r="49" spans="1:2" x14ac:dyDescent="0.25">
      <c r="A49" s="4" t="s">
        <v>15</v>
      </c>
      <c r="B49" s="4" t="s">
        <v>93</v>
      </c>
    </row>
    <row r="50" spans="1:2" x14ac:dyDescent="0.25">
      <c r="A50" s="4" t="s">
        <v>16</v>
      </c>
      <c r="B50" s="4" t="s">
        <v>93</v>
      </c>
    </row>
    <row r="51" spans="1:2" x14ac:dyDescent="0.25">
      <c r="A51" s="4" t="s">
        <v>44</v>
      </c>
      <c r="B51" s="4" t="s">
        <v>93</v>
      </c>
    </row>
    <row r="52" spans="1:2" x14ac:dyDescent="0.25">
      <c r="A52" s="4" t="s">
        <v>67</v>
      </c>
      <c r="B52" s="4" t="s">
        <v>93</v>
      </c>
    </row>
    <row r="53" spans="1:2" x14ac:dyDescent="0.25">
      <c r="A53" s="4" t="s">
        <v>30</v>
      </c>
      <c r="B53" s="4" t="s">
        <v>93</v>
      </c>
    </row>
    <row r="54" spans="1:2" x14ac:dyDescent="0.25">
      <c r="A54" s="4" t="s">
        <v>70</v>
      </c>
      <c r="B54" s="4" t="s">
        <v>93</v>
      </c>
    </row>
    <row r="55" spans="1:2" x14ac:dyDescent="0.25">
      <c r="A55" s="4" t="s">
        <v>198</v>
      </c>
      <c r="B55" s="4" t="s">
        <v>93</v>
      </c>
    </row>
    <row r="56" spans="1:2" x14ac:dyDescent="0.25">
      <c r="A56" s="4" t="s">
        <v>177</v>
      </c>
      <c r="B56" s="4" t="s">
        <v>93</v>
      </c>
    </row>
    <row r="57" spans="1:2" x14ac:dyDescent="0.25">
      <c r="A57" s="4" t="s">
        <v>68</v>
      </c>
      <c r="B57" s="4" t="s">
        <v>93</v>
      </c>
    </row>
    <row r="58" spans="1:2" x14ac:dyDescent="0.25">
      <c r="A58" s="4" t="s">
        <v>13</v>
      </c>
      <c r="B58" s="4" t="s">
        <v>93</v>
      </c>
    </row>
    <row r="59" spans="1:2" x14ac:dyDescent="0.25">
      <c r="A59" s="4" t="s">
        <v>132</v>
      </c>
    </row>
    <row r="60" spans="1:2" x14ac:dyDescent="0.25">
      <c r="A60" s="4" t="s">
        <v>97</v>
      </c>
      <c r="B60" s="4" t="s">
        <v>209</v>
      </c>
    </row>
    <row r="61" spans="1:2" x14ac:dyDescent="0.25">
      <c r="A61" s="4" t="s">
        <v>26</v>
      </c>
    </row>
    <row r="62" spans="1:2" x14ac:dyDescent="0.25">
      <c r="A62" s="4" t="s">
        <v>69</v>
      </c>
    </row>
    <row r="63" spans="1:2" x14ac:dyDescent="0.25">
      <c r="A63" s="4" t="s">
        <v>98</v>
      </c>
      <c r="B63" s="4" t="s">
        <v>209</v>
      </c>
    </row>
    <row r="64" spans="1:2" x14ac:dyDescent="0.25">
      <c r="A64" s="4" t="s">
        <v>99</v>
      </c>
      <c r="B64" s="4" t="s">
        <v>209</v>
      </c>
    </row>
    <row r="65" spans="1:2" x14ac:dyDescent="0.25">
      <c r="A65" s="4" t="s">
        <v>100</v>
      </c>
      <c r="B65" s="4" t="s">
        <v>209</v>
      </c>
    </row>
    <row r="66" spans="1:2" x14ac:dyDescent="0.25">
      <c r="A66" s="4" t="s">
        <v>176</v>
      </c>
    </row>
    <row r="67" spans="1:2" x14ac:dyDescent="0.25">
      <c r="A67" s="4" t="s">
        <v>144</v>
      </c>
      <c r="B67" s="4" t="s">
        <v>93</v>
      </c>
    </row>
    <row r="68" spans="1:2" x14ac:dyDescent="0.25">
      <c r="A68" s="4" t="s">
        <v>146</v>
      </c>
      <c r="B68" s="4" t="s">
        <v>209</v>
      </c>
    </row>
    <row r="69" spans="1:2" x14ac:dyDescent="0.25">
      <c r="A69" s="4" t="s">
        <v>101</v>
      </c>
      <c r="B69" s="4" t="s">
        <v>209</v>
      </c>
    </row>
    <row r="70" spans="1:2" x14ac:dyDescent="0.25">
      <c r="A70" s="4" t="s">
        <v>102</v>
      </c>
      <c r="B70" s="4" t="s">
        <v>209</v>
      </c>
    </row>
    <row r="71" spans="1:2" x14ac:dyDescent="0.25">
      <c r="A71" s="4" t="s">
        <v>103</v>
      </c>
      <c r="B71" s="4" t="s">
        <v>209</v>
      </c>
    </row>
    <row r="72" spans="1:2" x14ac:dyDescent="0.25">
      <c r="A72" s="4" t="s">
        <v>104</v>
      </c>
      <c r="B72" s="4" t="s">
        <v>209</v>
      </c>
    </row>
    <row r="73" spans="1:2" x14ac:dyDescent="0.25">
      <c r="A73" s="4" t="s">
        <v>105</v>
      </c>
      <c r="B73" s="4" t="s">
        <v>209</v>
      </c>
    </row>
    <row r="74" spans="1:2" x14ac:dyDescent="0.25">
      <c r="A74" s="4" t="s">
        <v>11</v>
      </c>
    </row>
    <row r="75" spans="1:2" x14ac:dyDescent="0.25">
      <c r="A75" s="4" t="s">
        <v>71</v>
      </c>
    </row>
    <row r="76" spans="1:2" x14ac:dyDescent="0.25">
      <c r="A76" s="4" t="s">
        <v>72</v>
      </c>
    </row>
    <row r="77" spans="1:2" x14ac:dyDescent="0.25">
      <c r="A77" s="4" t="s">
        <v>36</v>
      </c>
    </row>
    <row r="78" spans="1:2" x14ac:dyDescent="0.25">
      <c r="A78" s="4" t="s">
        <v>29</v>
      </c>
    </row>
    <row r="79" spans="1:2" x14ac:dyDescent="0.25">
      <c r="A79" s="4" t="s">
        <v>22</v>
      </c>
    </row>
    <row r="80" spans="1:2" x14ac:dyDescent="0.25">
      <c r="A80" s="4" t="s">
        <v>73</v>
      </c>
    </row>
    <row r="81" spans="1:2" x14ac:dyDescent="0.25">
      <c r="A81" s="4" t="s">
        <v>138</v>
      </c>
    </row>
    <row r="82" spans="1:2" x14ac:dyDescent="0.25">
      <c r="A82" s="4" t="s">
        <v>38</v>
      </c>
    </row>
    <row r="83" spans="1:2" x14ac:dyDescent="0.25">
      <c r="A83" s="4" t="s">
        <v>49</v>
      </c>
    </row>
    <row r="84" spans="1:2" x14ac:dyDescent="0.25">
      <c r="A84" s="4" t="s">
        <v>143</v>
      </c>
      <c r="B84" s="4" t="s">
        <v>93</v>
      </c>
    </row>
    <row r="85" spans="1:2" x14ac:dyDescent="0.25">
      <c r="A85" s="4" t="s">
        <v>142</v>
      </c>
      <c r="B85" s="4" t="s">
        <v>93</v>
      </c>
    </row>
    <row r="86" spans="1:2" x14ac:dyDescent="0.25">
      <c r="A86" s="4" t="s">
        <v>141</v>
      </c>
      <c r="B86" s="4" t="s">
        <v>93</v>
      </c>
    </row>
    <row r="87" spans="1:2" x14ac:dyDescent="0.25">
      <c r="A87" s="4" t="s">
        <v>107</v>
      </c>
      <c r="B87" s="4" t="s">
        <v>106</v>
      </c>
    </row>
    <row r="88" spans="1:2" x14ac:dyDescent="0.25">
      <c r="A88" s="4" t="s">
        <v>136</v>
      </c>
    </row>
    <row r="89" spans="1:2" x14ac:dyDescent="0.25">
      <c r="A89" s="4" t="s">
        <v>137</v>
      </c>
    </row>
    <row r="90" spans="1:2" x14ac:dyDescent="0.25">
      <c r="A90" s="4" t="s">
        <v>135</v>
      </c>
    </row>
    <row r="91" spans="1:2" x14ac:dyDescent="0.25">
      <c r="A91" s="4" t="s">
        <v>28</v>
      </c>
    </row>
    <row r="92" spans="1:2" x14ac:dyDescent="0.25">
      <c r="A92" s="4" t="s">
        <v>37</v>
      </c>
    </row>
    <row r="93" spans="1:2" x14ac:dyDescent="0.25">
      <c r="A93" s="4" t="s">
        <v>179</v>
      </c>
      <c r="B93" s="4" t="s">
        <v>186</v>
      </c>
    </row>
    <row r="94" spans="1:2" x14ac:dyDescent="0.25">
      <c r="A94" s="4" t="s">
        <v>21</v>
      </c>
    </row>
    <row r="95" spans="1:2" x14ac:dyDescent="0.25">
      <c r="A95" s="4" t="s">
        <v>33</v>
      </c>
      <c r="B95" s="4" t="s">
        <v>93</v>
      </c>
    </row>
    <row r="96" spans="1:2" x14ac:dyDescent="0.25">
      <c r="A96" s="4" t="s">
        <v>74</v>
      </c>
      <c r="B96" s="4" t="s">
        <v>93</v>
      </c>
    </row>
    <row r="97" spans="1:2" x14ac:dyDescent="0.25">
      <c r="A97" s="4" t="s">
        <v>108</v>
      </c>
      <c r="B97" s="4" t="s">
        <v>332</v>
      </c>
    </row>
    <row r="98" spans="1:2" x14ac:dyDescent="0.25">
      <c r="A98" s="4" t="s">
        <v>109</v>
      </c>
      <c r="B98" s="4" t="s">
        <v>332</v>
      </c>
    </row>
    <row r="99" spans="1:2" x14ac:dyDescent="0.25">
      <c r="A99" s="4" t="s">
        <v>110</v>
      </c>
      <c r="B99" s="4" t="s">
        <v>332</v>
      </c>
    </row>
    <row r="100" spans="1:2" x14ac:dyDescent="0.25">
      <c r="A100" s="4" t="s">
        <v>111</v>
      </c>
      <c r="B100" s="4" t="s">
        <v>332</v>
      </c>
    </row>
    <row r="101" spans="1:2" x14ac:dyDescent="0.25">
      <c r="A101" s="4" t="s">
        <v>32</v>
      </c>
      <c r="B101" s="4" t="s">
        <v>93</v>
      </c>
    </row>
    <row r="102" spans="1:2" x14ac:dyDescent="0.25">
      <c r="A102" s="4" t="s">
        <v>171</v>
      </c>
    </row>
    <row r="103" spans="1:2" x14ac:dyDescent="0.25">
      <c r="A103" s="4" t="s">
        <v>170</v>
      </c>
    </row>
    <row r="104" spans="1:2" x14ac:dyDescent="0.25">
      <c r="A104" s="4" t="s">
        <v>25</v>
      </c>
    </row>
    <row r="105" spans="1:2" x14ac:dyDescent="0.25">
      <c r="A105" s="4" t="s">
        <v>45</v>
      </c>
      <c r="B105" s="4" t="s">
        <v>93</v>
      </c>
    </row>
    <row r="106" spans="1:2" x14ac:dyDescent="0.25">
      <c r="A106" s="4" t="s">
        <v>48</v>
      </c>
      <c r="B106" s="4" t="s">
        <v>93</v>
      </c>
    </row>
    <row r="107" spans="1:2" x14ac:dyDescent="0.25">
      <c r="A107" s="4" t="s">
        <v>166</v>
      </c>
      <c r="B107" s="4" t="s">
        <v>93</v>
      </c>
    </row>
    <row r="108" spans="1:2" x14ac:dyDescent="0.25">
      <c r="A108" s="4" t="s">
        <v>163</v>
      </c>
    </row>
    <row r="109" spans="1:2" x14ac:dyDescent="0.25">
      <c r="A109" s="4" t="s">
        <v>159</v>
      </c>
    </row>
    <row r="110" spans="1:2" x14ac:dyDescent="0.25">
      <c r="A110" s="4" t="s">
        <v>20</v>
      </c>
    </row>
    <row r="111" spans="1:2" x14ac:dyDescent="0.25">
      <c r="A111" s="4" t="s">
        <v>42</v>
      </c>
    </row>
    <row r="112" spans="1:2" x14ac:dyDescent="0.25">
      <c r="A112" s="4" t="s">
        <v>75</v>
      </c>
    </row>
    <row r="113" spans="1:2" x14ac:dyDescent="0.25">
      <c r="A113" s="4" t="s">
        <v>199</v>
      </c>
    </row>
    <row r="114" spans="1:2" x14ac:dyDescent="0.25">
      <c r="A114" s="4" t="s">
        <v>213</v>
      </c>
    </row>
    <row r="115" spans="1:2" x14ac:dyDescent="0.25">
      <c r="A115" s="4" t="s">
        <v>162</v>
      </c>
      <c r="B115" s="4" t="s">
        <v>209</v>
      </c>
    </row>
    <row r="116" spans="1:2" x14ac:dyDescent="0.25">
      <c r="A116" s="4" t="s">
        <v>161</v>
      </c>
      <c r="B116" s="4" t="s">
        <v>209</v>
      </c>
    </row>
    <row r="117" spans="1:2" x14ac:dyDescent="0.25">
      <c r="A117" s="4" t="s">
        <v>160</v>
      </c>
      <c r="B117" s="4" t="s">
        <v>209</v>
      </c>
    </row>
    <row r="118" spans="1:2" x14ac:dyDescent="0.25">
      <c r="A118" s="4" t="s">
        <v>214</v>
      </c>
      <c r="B118" s="4" t="s">
        <v>93</v>
      </c>
    </row>
    <row r="119" spans="1:2" x14ac:dyDescent="0.25">
      <c r="A119" s="4" t="s">
        <v>76</v>
      </c>
    </row>
    <row r="120" spans="1:2" x14ac:dyDescent="0.25">
      <c r="A120" s="4" t="s">
        <v>187</v>
      </c>
    </row>
    <row r="121" spans="1:2" x14ac:dyDescent="0.25">
      <c r="A121" s="4" t="s">
        <v>43</v>
      </c>
    </row>
    <row r="122" spans="1:2" x14ac:dyDescent="0.25">
      <c r="A122" s="4" t="s">
        <v>151</v>
      </c>
      <c r="B122" s="4" t="s">
        <v>209</v>
      </c>
    </row>
    <row r="123" spans="1:2" x14ac:dyDescent="0.25">
      <c r="A123" s="4" t="s">
        <v>180</v>
      </c>
    </row>
    <row r="124" spans="1:2" x14ac:dyDescent="0.25">
      <c r="A124" s="4" t="s">
        <v>112</v>
      </c>
      <c r="B124" s="4" t="s">
        <v>113</v>
      </c>
    </row>
    <row r="125" spans="1:2" x14ac:dyDescent="0.25">
      <c r="A125" s="4" t="s">
        <v>114</v>
      </c>
      <c r="B125" s="4" t="s">
        <v>113</v>
      </c>
    </row>
    <row r="126" spans="1:2" x14ac:dyDescent="0.25">
      <c r="A126" s="4" t="s">
        <v>172</v>
      </c>
    </row>
    <row r="127" spans="1:2" x14ac:dyDescent="0.25">
      <c r="A127" s="4" t="s">
        <v>173</v>
      </c>
    </row>
    <row r="128" spans="1:2" x14ac:dyDescent="0.25">
      <c r="A128" s="4" t="s">
        <v>174</v>
      </c>
    </row>
    <row r="129" spans="1:2" x14ac:dyDescent="0.25">
      <c r="A129" s="4" t="s">
        <v>148</v>
      </c>
      <c r="B129" s="4" t="s">
        <v>332</v>
      </c>
    </row>
    <row r="130" spans="1:2" x14ac:dyDescent="0.25">
      <c r="A130" s="4" t="s">
        <v>77</v>
      </c>
    </row>
    <row r="131" spans="1:2" x14ac:dyDescent="0.25">
      <c r="A131" s="4" t="s">
        <v>50</v>
      </c>
    </row>
    <row r="132" spans="1:2" x14ac:dyDescent="0.25">
      <c r="A132" s="4" t="s">
        <v>78</v>
      </c>
    </row>
    <row r="133" spans="1:2" x14ac:dyDescent="0.25">
      <c r="A133" s="4" t="s">
        <v>80</v>
      </c>
    </row>
    <row r="134" spans="1:2" x14ac:dyDescent="0.25">
      <c r="A134" s="4" t="s">
        <v>79</v>
      </c>
    </row>
    <row r="135" spans="1:2" x14ac:dyDescent="0.25">
      <c r="A135" s="4" t="s">
        <v>115</v>
      </c>
      <c r="B135" s="4" t="s">
        <v>209</v>
      </c>
    </row>
    <row r="136" spans="1:2" x14ac:dyDescent="0.25">
      <c r="A136" s="4" t="s">
        <v>116</v>
      </c>
      <c r="B136" s="4" t="s">
        <v>209</v>
      </c>
    </row>
    <row r="137" spans="1:2" x14ac:dyDescent="0.25">
      <c r="A137" s="4" t="s">
        <v>81</v>
      </c>
    </row>
    <row r="138" spans="1:2" x14ac:dyDescent="0.25">
      <c r="A138" s="4" t="s">
        <v>82</v>
      </c>
    </row>
    <row r="139" spans="1:2" x14ac:dyDescent="0.25">
      <c r="A139" s="4" t="s">
        <v>46</v>
      </c>
    </row>
    <row r="140" spans="1:2" x14ac:dyDescent="0.25">
      <c r="A140" s="4" t="s">
        <v>191</v>
      </c>
    </row>
    <row r="141" spans="1:2" x14ac:dyDescent="0.25">
      <c r="A141" s="4" t="s">
        <v>190</v>
      </c>
    </row>
    <row r="142" spans="1:2" x14ac:dyDescent="0.25">
      <c r="A142" s="4" t="s">
        <v>189</v>
      </c>
    </row>
    <row r="143" spans="1:2" x14ac:dyDescent="0.25">
      <c r="A143" s="4" t="s">
        <v>175</v>
      </c>
      <c r="B143" s="4" t="s">
        <v>93</v>
      </c>
    </row>
    <row r="144" spans="1:2" x14ac:dyDescent="0.25">
      <c r="A144" s="4" t="s">
        <v>149</v>
      </c>
      <c r="B144" s="4" t="s">
        <v>209</v>
      </c>
    </row>
    <row r="145" spans="1:2" x14ac:dyDescent="0.25">
      <c r="A145" s="4" t="s">
        <v>208</v>
      </c>
      <c r="B145" s="4" t="s">
        <v>209</v>
      </c>
    </row>
    <row r="146" spans="1:2" x14ac:dyDescent="0.25">
      <c r="A146" s="4" t="s">
        <v>183</v>
      </c>
    </row>
    <row r="147" spans="1:2" x14ac:dyDescent="0.25">
      <c r="A147" s="4" t="s">
        <v>207</v>
      </c>
    </row>
    <row r="148" spans="1:2" x14ac:dyDescent="0.25">
      <c r="A148" s="4" t="s">
        <v>47</v>
      </c>
    </row>
    <row r="149" spans="1:2" x14ac:dyDescent="0.25">
      <c r="A149" s="4" t="s">
        <v>182</v>
      </c>
    </row>
    <row r="150" spans="1:2" x14ac:dyDescent="0.25">
      <c r="A150" s="4" t="s">
        <v>210</v>
      </c>
    </row>
    <row r="151" spans="1:2" x14ac:dyDescent="0.25">
      <c r="A151" s="4" t="s">
        <v>83</v>
      </c>
    </row>
    <row r="152" spans="1:2" x14ac:dyDescent="0.25">
      <c r="A152" s="4" t="s">
        <v>84</v>
      </c>
    </row>
    <row r="153" spans="1:2" x14ac:dyDescent="0.25">
      <c r="A153" s="4" t="s">
        <v>27</v>
      </c>
    </row>
    <row r="154" spans="1:2" x14ac:dyDescent="0.25">
      <c r="A154" s="4" t="s">
        <v>117</v>
      </c>
      <c r="B154" s="4" t="s">
        <v>209</v>
      </c>
    </row>
    <row r="155" spans="1:2" x14ac:dyDescent="0.25">
      <c r="A155" s="4" t="s">
        <v>134</v>
      </c>
    </row>
    <row r="156" spans="1:2" x14ac:dyDescent="0.25">
      <c r="A156" s="4" t="s">
        <v>167</v>
      </c>
      <c r="B156" s="4" t="s">
        <v>209</v>
      </c>
    </row>
    <row r="157" spans="1:2" x14ac:dyDescent="0.25">
      <c r="A157" s="4" t="s">
        <v>168</v>
      </c>
      <c r="B157" s="4" t="s">
        <v>209</v>
      </c>
    </row>
    <row r="158" spans="1:2" x14ac:dyDescent="0.25">
      <c r="A158" s="4" t="s">
        <v>169</v>
      </c>
      <c r="B158" s="4" t="s">
        <v>209</v>
      </c>
    </row>
    <row r="159" spans="1:2" x14ac:dyDescent="0.25">
      <c r="A159" s="4" t="s">
        <v>86</v>
      </c>
    </row>
    <row r="160" spans="1:2" x14ac:dyDescent="0.25">
      <c r="A160" s="4" t="s">
        <v>85</v>
      </c>
    </row>
    <row r="161" spans="1:2" x14ac:dyDescent="0.25">
      <c r="A161" s="4" t="s">
        <v>24</v>
      </c>
    </row>
    <row r="162" spans="1:2" x14ac:dyDescent="0.25">
      <c r="A162" s="4" t="s">
        <v>129</v>
      </c>
      <c r="B162" s="4" t="s">
        <v>209</v>
      </c>
    </row>
    <row r="163" spans="1:2" x14ac:dyDescent="0.25">
      <c r="A163" s="4" t="s">
        <v>130</v>
      </c>
      <c r="B163" s="4" t="s">
        <v>209</v>
      </c>
    </row>
    <row r="164" spans="1:2" x14ac:dyDescent="0.25">
      <c r="A164" s="4" t="s">
        <v>131</v>
      </c>
      <c r="B164" s="4" t="s">
        <v>209</v>
      </c>
    </row>
    <row r="165" spans="1:2" x14ac:dyDescent="0.25">
      <c r="A165" s="4" t="s">
        <v>87</v>
      </c>
    </row>
    <row r="166" spans="1:2" x14ac:dyDescent="0.25">
      <c r="A166" s="4" t="s">
        <v>34</v>
      </c>
    </row>
    <row r="167" spans="1:2" x14ac:dyDescent="0.25">
      <c r="A167" s="4" t="s">
        <v>88</v>
      </c>
    </row>
    <row r="168" spans="1:2" x14ac:dyDescent="0.25">
      <c r="A168" s="4" t="s">
        <v>118</v>
      </c>
      <c r="B168" s="4" t="s">
        <v>209</v>
      </c>
    </row>
    <row r="169" spans="1:2" x14ac:dyDescent="0.25">
      <c r="A169" s="4" t="s">
        <v>119</v>
      </c>
      <c r="B169" s="4" t="s">
        <v>209</v>
      </c>
    </row>
    <row r="170" spans="1:2" x14ac:dyDescent="0.25">
      <c r="A170" s="4" t="s">
        <v>120</v>
      </c>
      <c r="B170" s="4" t="s">
        <v>209</v>
      </c>
    </row>
    <row r="171" spans="1:2" x14ac:dyDescent="0.25">
      <c r="A171" s="4" t="s">
        <v>121</v>
      </c>
      <c r="B171" s="4" t="s">
        <v>209</v>
      </c>
    </row>
    <row r="172" spans="1:2" x14ac:dyDescent="0.25">
      <c r="A172" s="4" t="s">
        <v>122</v>
      </c>
      <c r="B172" s="4" t="s">
        <v>209</v>
      </c>
    </row>
    <row r="173" spans="1:2" x14ac:dyDescent="0.25">
      <c r="A173" s="4" t="s">
        <v>123</v>
      </c>
      <c r="B173" s="4" t="s">
        <v>209</v>
      </c>
    </row>
    <row r="174" spans="1:2" x14ac:dyDescent="0.25">
      <c r="A174" s="4" t="s">
        <v>124</v>
      </c>
      <c r="B174" s="4" t="s">
        <v>209</v>
      </c>
    </row>
    <row r="175" spans="1:2" x14ac:dyDescent="0.25">
      <c r="A175" s="4" t="s">
        <v>125</v>
      </c>
      <c r="B175" s="4" t="s">
        <v>209</v>
      </c>
    </row>
    <row r="176" spans="1:2" x14ac:dyDescent="0.25">
      <c r="A176" s="4" t="s">
        <v>126</v>
      </c>
      <c r="B176" s="4" t="s">
        <v>209</v>
      </c>
    </row>
    <row r="177" spans="1:2" x14ac:dyDescent="0.25">
      <c r="A177" s="4" t="s">
        <v>89</v>
      </c>
      <c r="B177" s="4" t="s">
        <v>93</v>
      </c>
    </row>
    <row r="178" spans="1:2" x14ac:dyDescent="0.25">
      <c r="A178" s="4" t="s">
        <v>9</v>
      </c>
      <c r="B178" s="4" t="s">
        <v>93</v>
      </c>
    </row>
    <row r="179" spans="1:2" x14ac:dyDescent="0.25">
      <c r="A179" s="4" t="s">
        <v>197</v>
      </c>
    </row>
    <row r="180" spans="1:2" x14ac:dyDescent="0.25">
      <c r="A180" s="4" t="s">
        <v>127</v>
      </c>
      <c r="B180" s="4" t="s">
        <v>209</v>
      </c>
    </row>
    <row r="181" spans="1:2" x14ac:dyDescent="0.25">
      <c r="A181" s="4" t="s">
        <v>128</v>
      </c>
      <c r="B181" s="4" t="s">
        <v>209</v>
      </c>
    </row>
    <row r="182" spans="1:2" x14ac:dyDescent="0.25">
      <c r="A182" s="4" t="s">
        <v>184</v>
      </c>
    </row>
    <row r="183" spans="1:2" x14ac:dyDescent="0.25">
      <c r="A183" s="4" t="s">
        <v>185</v>
      </c>
    </row>
    <row r="184" spans="1:2" x14ac:dyDescent="0.25">
      <c r="A184" s="4" t="s">
        <v>155</v>
      </c>
      <c r="B184" s="4" t="s">
        <v>93</v>
      </c>
    </row>
    <row r="185" spans="1:2" x14ac:dyDescent="0.25">
      <c r="A185" s="4" t="s">
        <v>156</v>
      </c>
      <c r="B185" s="4" t="s">
        <v>93</v>
      </c>
    </row>
    <row r="186" spans="1:2" x14ac:dyDescent="0.25">
      <c r="A186" s="4" t="s">
        <v>157</v>
      </c>
      <c r="B186" s="4" t="s">
        <v>93</v>
      </c>
    </row>
    <row r="187" spans="1:2" x14ac:dyDescent="0.25">
      <c r="A187" s="4" t="s">
        <v>152</v>
      </c>
      <c r="B187" s="4" t="s">
        <v>93</v>
      </c>
    </row>
    <row r="188" spans="1:2" x14ac:dyDescent="0.25">
      <c r="A188" s="4" t="s">
        <v>153</v>
      </c>
      <c r="B188" s="4" t="s">
        <v>93</v>
      </c>
    </row>
    <row r="189" spans="1:2" x14ac:dyDescent="0.25">
      <c r="A189" s="4" t="s">
        <v>154</v>
      </c>
      <c r="B189" s="4" t="s">
        <v>93</v>
      </c>
    </row>
    <row r="190" spans="1:2" x14ac:dyDescent="0.25">
      <c r="A190" s="4" t="s">
        <v>90</v>
      </c>
      <c r="B190" s="4" t="s">
        <v>93</v>
      </c>
    </row>
    <row r="191" spans="1:2" x14ac:dyDescent="0.25">
      <c r="A191" s="4" t="s">
        <v>8</v>
      </c>
      <c r="B191" s="4" t="s">
        <v>93</v>
      </c>
    </row>
    <row r="192" spans="1:2" x14ac:dyDescent="0.25">
      <c r="A192" s="4" t="s">
        <v>201</v>
      </c>
    </row>
    <row r="193" spans="1:2" x14ac:dyDescent="0.25">
      <c r="A193" s="4" t="s">
        <v>211</v>
      </c>
      <c r="B193" s="4" t="s">
        <v>209</v>
      </c>
    </row>
  </sheetData>
  <sortState xmlns:xlrd2="http://schemas.microsoft.com/office/spreadsheetml/2017/richdata2" ref="A1:B193">
    <sortCondition ref="A1:A19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8"/>
  <sheetViews>
    <sheetView topLeftCell="A13" workbookViewId="0">
      <selection activeCell="A119" sqref="A119:A243"/>
    </sheetView>
  </sheetViews>
  <sheetFormatPr defaultRowHeight="15" x14ac:dyDescent="0.25"/>
  <cols>
    <col min="1" max="1" width="70.140625" style="5" bestFit="1" customWidth="1"/>
  </cols>
  <sheetData>
    <row r="1" spans="1:15" x14ac:dyDescent="0.25">
      <c r="A1" s="6" t="s">
        <v>256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x14ac:dyDescent="0.25">
      <c r="A2" s="6" t="s">
        <v>257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x14ac:dyDescent="0.25">
      <c r="A3" s="6" t="s">
        <v>258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x14ac:dyDescent="0.25">
      <c r="A4" s="6" t="s">
        <v>259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x14ac:dyDescent="0.25">
      <c r="A5" s="6" t="s">
        <v>260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x14ac:dyDescent="0.25">
      <c r="A6" s="6" t="s">
        <v>224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 x14ac:dyDescent="0.25">
      <c r="A7" s="6" t="s">
        <v>225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 x14ac:dyDescent="0.25">
      <c r="A8" s="6" t="s">
        <v>226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 x14ac:dyDescent="0.25">
      <c r="A9" s="6" t="s">
        <v>227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 x14ac:dyDescent="0.25">
      <c r="A10" s="6" t="s">
        <v>228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 x14ac:dyDescent="0.25">
      <c r="A11" s="6" t="s">
        <v>229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 x14ac:dyDescent="0.25">
      <c r="A12" s="6" t="s">
        <v>230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 x14ac:dyDescent="0.25">
      <c r="A13" s="6" t="s">
        <v>231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1:15" x14ac:dyDescent="0.25">
      <c r="A14" s="6" t="s">
        <v>232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 x14ac:dyDescent="0.25">
      <c r="A15" s="6" t="s">
        <v>233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1:15" x14ac:dyDescent="0.25">
      <c r="A16" s="9" t="s">
        <v>234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 x14ac:dyDescent="0.25">
      <c r="A17" s="9" t="s">
        <v>238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 x14ac:dyDescent="0.25">
      <c r="A18" s="12" t="s">
        <v>218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1:15" x14ac:dyDescent="0.25">
      <c r="A19" s="6" t="s">
        <v>235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 x14ac:dyDescent="0.25">
      <c r="A20" s="9" t="s">
        <v>236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 x14ac:dyDescent="0.25">
      <c r="A21" s="9" t="s">
        <v>237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1:15" x14ac:dyDescent="0.25">
      <c r="A22" s="12" t="s">
        <v>219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1:15" x14ac:dyDescent="0.25">
      <c r="A23" s="12" t="s">
        <v>222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 x14ac:dyDescent="0.25">
      <c r="A24" s="6" t="s">
        <v>239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x14ac:dyDescent="0.25">
      <c r="A25" s="6" t="s">
        <v>240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1:15" x14ac:dyDescent="0.25">
      <c r="A26" s="9" t="s">
        <v>241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1:15" x14ac:dyDescent="0.25">
      <c r="A27" s="6" t="s">
        <v>242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1:15" x14ac:dyDescent="0.25">
      <c r="A28" s="6" t="s">
        <v>243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1:15" x14ac:dyDescent="0.25">
      <c r="A29" s="6" t="s">
        <v>245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1:15" x14ac:dyDescent="0.25">
      <c r="A30" s="6" t="s">
        <v>271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1:15" x14ac:dyDescent="0.25">
      <c r="A31" s="6" t="s">
        <v>246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1:15" x14ac:dyDescent="0.25">
      <c r="A32" s="6" t="s">
        <v>247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1:15" x14ac:dyDescent="0.25">
      <c r="A33" s="6" t="s">
        <v>248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1:15" x14ac:dyDescent="0.25">
      <c r="A34" s="6" t="s">
        <v>249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1:15" x14ac:dyDescent="0.25">
      <c r="A35" s="6" t="s">
        <v>250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1:15" x14ac:dyDescent="0.25">
      <c r="A36" s="6" t="s">
        <v>250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1:15" x14ac:dyDescent="0.25">
      <c r="A37" s="6" t="s">
        <v>251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/>
    </row>
    <row r="38" spans="1:15" x14ac:dyDescent="0.25">
      <c r="A38" s="6" t="s">
        <v>244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 x14ac:dyDescent="0.25">
      <c r="A39" s="6" t="s">
        <v>253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/>
    </row>
    <row r="40" spans="1:15" x14ac:dyDescent="0.25">
      <c r="A40" s="6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 x14ac:dyDescent="0.25">
      <c r="A41" s="6" t="s">
        <v>261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/>
    </row>
    <row r="42" spans="1:15" x14ac:dyDescent="0.25">
      <c r="A42" s="9" t="s">
        <v>255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1:15" x14ac:dyDescent="0.25">
      <c r="A43" s="6" t="s">
        <v>262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</row>
    <row r="44" spans="1:15" x14ac:dyDescent="0.25">
      <c r="A44" s="9" t="s">
        <v>331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 ht="16.7" customHeight="1" x14ac:dyDescent="0.25">
      <c r="A45" s="6" t="s">
        <v>330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 x14ac:dyDescent="0.25">
      <c r="A46" s="6" t="s">
        <v>268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/>
    </row>
    <row r="47" spans="1:15" x14ac:dyDescent="0.25">
      <c r="A47" s="6" t="s">
        <v>269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 x14ac:dyDescent="0.25">
      <c r="A48" s="9" t="s">
        <v>263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 x14ac:dyDescent="0.25">
      <c r="A49" s="9" t="s">
        <v>264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 x14ac:dyDescent="0.25">
      <c r="A50" s="6" t="s">
        <v>265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 x14ac:dyDescent="0.25">
      <c r="A51" s="6" t="s">
        <v>266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 x14ac:dyDescent="0.25">
      <c r="A52" s="6" t="s">
        <v>267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1:15" x14ac:dyDescent="0.25">
      <c r="A53" s="12" t="s">
        <v>252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1:15" x14ac:dyDescent="0.25">
      <c r="A54" s="12" t="s">
        <v>220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1:15" ht="16.7" customHeight="1" x14ac:dyDescent="0.25">
      <c r="A55" s="9" t="s">
        <v>270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1:15" x14ac:dyDescent="0.25">
      <c r="A56" s="12" t="s">
        <v>216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1:15" x14ac:dyDescent="0.25">
      <c r="A57" s="9" t="s">
        <v>311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 x14ac:dyDescent="0.25">
      <c r="A58" s="6" t="s">
        <v>312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1:15" x14ac:dyDescent="0.25">
      <c r="A59" s="6" t="s">
        <v>313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1:15" x14ac:dyDescent="0.25">
      <c r="A60" s="6" t="s">
        <v>314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1:15" x14ac:dyDescent="0.25">
      <c r="A61" s="6" t="s">
        <v>315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1:15" x14ac:dyDescent="0.25">
      <c r="A62" s="6" t="s">
        <v>316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 x14ac:dyDescent="0.25">
      <c r="A63" s="6" t="s">
        <v>317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 x14ac:dyDescent="0.25">
      <c r="A64" s="6" t="s">
        <v>318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 x14ac:dyDescent="0.25">
      <c r="A65" s="9" t="s">
        <v>319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 x14ac:dyDescent="0.25">
      <c r="A66" s="9" t="s">
        <v>320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1:15" x14ac:dyDescent="0.25">
      <c r="A67" s="6" t="s">
        <v>321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1:15" x14ac:dyDescent="0.25">
      <c r="A68" s="6" t="s">
        <v>322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1:15" x14ac:dyDescent="0.25">
      <c r="A69" s="6" t="s">
        <v>323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1:15" x14ac:dyDescent="0.25">
      <c r="A70" s="6" t="s">
        <v>324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1:15" x14ac:dyDescent="0.25">
      <c r="A71" s="6" t="s">
        <v>325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1:15" x14ac:dyDescent="0.25">
      <c r="A72" s="6" t="s">
        <v>326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1:15" x14ac:dyDescent="0.25">
      <c r="A73" s="9" t="s">
        <v>327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 x14ac:dyDescent="0.25">
      <c r="A74" s="9" t="s">
        <v>328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1:15" x14ac:dyDescent="0.25">
      <c r="A75" s="6" t="s">
        <v>329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8"/>
    </row>
    <row r="76" spans="1:15" x14ac:dyDescent="0.25">
      <c r="A76" s="6" t="s">
        <v>217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8"/>
    </row>
    <row r="77" spans="1:15" x14ac:dyDescent="0.25">
      <c r="A77" s="6" t="s">
        <v>283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8"/>
    </row>
    <row r="78" spans="1:15" x14ac:dyDescent="0.25">
      <c r="A78" s="6" t="s">
        <v>310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8"/>
    </row>
    <row r="79" spans="1:15" x14ac:dyDescent="0.25">
      <c r="A79" s="9" t="s">
        <v>309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8"/>
    </row>
    <row r="80" spans="1:15" x14ac:dyDescent="0.25">
      <c r="A80" s="6" t="s">
        <v>272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1:15" x14ac:dyDescent="0.25">
      <c r="A81" s="6" t="s">
        <v>308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</row>
    <row r="82" spans="1:15" x14ac:dyDescent="0.25">
      <c r="A82" s="6" t="s">
        <v>273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8"/>
    </row>
    <row r="83" spans="1:15" x14ac:dyDescent="0.25">
      <c r="A83" s="6" t="s">
        <v>307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8"/>
    </row>
    <row r="84" spans="1:15" x14ac:dyDescent="0.25">
      <c r="A84" s="6" t="s">
        <v>306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8"/>
    </row>
    <row r="85" spans="1:15" x14ac:dyDescent="0.25">
      <c r="A85" s="6" t="s">
        <v>305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8"/>
    </row>
    <row r="86" spans="1:15" x14ac:dyDescent="0.25">
      <c r="A86" s="6" t="s">
        <v>304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1:15" x14ac:dyDescent="0.25">
      <c r="A87" s="6" t="s">
        <v>274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1:15" x14ac:dyDescent="0.25">
      <c r="A88" s="6" t="s">
        <v>303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1:15" x14ac:dyDescent="0.25">
      <c r="A89" s="6" t="s">
        <v>302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1:15" x14ac:dyDescent="0.25">
      <c r="A90" s="6" t="s">
        <v>299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1:15" x14ac:dyDescent="0.25">
      <c r="A91" s="6" t="s">
        <v>300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 x14ac:dyDescent="0.25">
      <c r="A92" s="6" t="s">
        <v>301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 x14ac:dyDescent="0.25">
      <c r="A93" s="6" t="s">
        <v>275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1:15" x14ac:dyDescent="0.25">
      <c r="A94" s="9" t="s">
        <v>276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1:15" x14ac:dyDescent="0.25">
      <c r="A95" s="6" t="s">
        <v>298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1:15" x14ac:dyDescent="0.25">
      <c r="A96" s="6" t="s">
        <v>297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1:15" x14ac:dyDescent="0.25">
      <c r="A97" s="6" t="s">
        <v>296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1:15" x14ac:dyDescent="0.25">
      <c r="A98" s="9" t="s">
        <v>295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1:15" x14ac:dyDescent="0.25">
      <c r="A99" s="6" t="s">
        <v>294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 x14ac:dyDescent="0.25">
      <c r="A100" s="6" t="s">
        <v>277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 x14ac:dyDescent="0.25">
      <c r="A101" s="6" t="s">
        <v>293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1:15" x14ac:dyDescent="0.25">
      <c r="A102" s="6" t="s">
        <v>292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1:15" x14ac:dyDescent="0.25">
      <c r="A103" s="6" t="s">
        <v>278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1:15" x14ac:dyDescent="0.25">
      <c r="A104" s="6" t="s">
        <v>279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1:15" x14ac:dyDescent="0.25">
      <c r="A105" s="6" t="s">
        <v>280</v>
      </c>
    </row>
    <row r="106" spans="1:15" x14ac:dyDescent="0.25">
      <c r="A106" s="6" t="s">
        <v>291</v>
      </c>
    </row>
    <row r="107" spans="1:15" x14ac:dyDescent="0.25">
      <c r="A107" s="6" t="s">
        <v>290</v>
      </c>
    </row>
    <row r="108" spans="1:15" x14ac:dyDescent="0.25">
      <c r="A108" s="6" t="s">
        <v>281</v>
      </c>
    </row>
    <row r="109" spans="1:15" x14ac:dyDescent="0.25">
      <c r="A109" s="6" t="s">
        <v>282</v>
      </c>
    </row>
    <row r="110" spans="1:15" x14ac:dyDescent="0.25">
      <c r="A110" s="6" t="s">
        <v>289</v>
      </c>
    </row>
    <row r="111" spans="1:15" x14ac:dyDescent="0.25">
      <c r="A111" s="14" t="s">
        <v>288</v>
      </c>
    </row>
    <row r="112" spans="1:15" x14ac:dyDescent="0.25">
      <c r="A112" s="5" t="s">
        <v>223</v>
      </c>
    </row>
    <row r="113" spans="1:1" x14ac:dyDescent="0.25">
      <c r="A113" s="9" t="s">
        <v>221</v>
      </c>
    </row>
    <row r="114" spans="1:1" x14ac:dyDescent="0.25">
      <c r="A114" s="14" t="s">
        <v>284</v>
      </c>
    </row>
    <row r="115" spans="1:1" x14ac:dyDescent="0.25">
      <c r="A115" s="13" t="s">
        <v>285</v>
      </c>
    </row>
    <row r="116" spans="1:1" x14ac:dyDescent="0.25">
      <c r="A116" s="13" t="s">
        <v>286</v>
      </c>
    </row>
    <row r="117" spans="1:1" x14ac:dyDescent="0.25">
      <c r="A117" s="13" t="s">
        <v>286</v>
      </c>
    </row>
    <row r="118" spans="1:1" x14ac:dyDescent="0.25">
      <c r="A118" s="13" t="s">
        <v>287</v>
      </c>
    </row>
  </sheetData>
  <sortState xmlns:xlrd2="http://schemas.microsoft.com/office/spreadsheetml/2017/richdata2" ref="A1:A122">
    <sortCondition ref="A1:A122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C5BA961C128449A87B1F2DA3565C6" ma:contentTypeVersion="0" ma:contentTypeDescription="Create a new document." ma:contentTypeScope="" ma:versionID="6526a4536b9490193de2db9153705b93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BE569A1-9788-405D-9499-5611F48AF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56A6259-FFCF-421A-ACE6-B66744EDA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644455-C3A6-4C32-8E22-6B06265E85D9}">
  <ds:schemaRefs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DCM Header</vt:lpstr>
      <vt:lpstr>DCM</vt:lpstr>
      <vt:lpstr>Data</vt:lpstr>
      <vt:lpstr>Shp Emg</vt:lpstr>
      <vt:lpstr>DCM!Print_Area</vt:lpstr>
      <vt:lpstr>DCM!Print_Titles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Colleen Nou</cp:lastModifiedBy>
  <cp:lastPrinted>2015-07-02T02:34:53Z</cp:lastPrinted>
  <dcterms:created xsi:type="dcterms:W3CDTF">2015-05-12T02:05:55Z</dcterms:created>
  <dcterms:modified xsi:type="dcterms:W3CDTF">2026-08-19T19:04:42Z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0x010100836C5BA961C128449A87B1F2DA3565C6</vt:lpwstr>
  </property>
</Properties>
</file>